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lok.leanna/Desktop/"/>
    </mc:Choice>
  </mc:AlternateContent>
  <xr:revisionPtr revIDLastSave="0" documentId="8_{4DE403F8-5A94-EB43-AAE1-2A140F432CB2}" xr6:coauthVersionLast="47" xr6:coauthVersionMax="47" xr10:uidLastSave="{00000000-0000-0000-0000-000000000000}"/>
  <bookViews>
    <workbookView xWindow="14380" yWindow="580" windowWidth="14420" windowHeight="16400" xr2:uid="{08383F43-651C-E94C-9718-01C4B6F1F924}"/>
  </bookViews>
  <sheets>
    <sheet name="VEH1104 Clean2 (2)" sheetId="11" r:id="rId1"/>
    <sheet name="VHE0172 lastest (3)" sheetId="10" r:id="rId2"/>
    <sheet name="VHE0172+1104" sheetId="8" r:id="rId3"/>
    <sheet name="Sheet1" sheetId="9" r:id="rId4"/>
    <sheet name="VEH0172 (ULEVs) registered for " sheetId="1" r:id="rId5"/>
    <sheet name="VEH0172 update" sheetId="2" r:id="rId6"/>
    <sheet name="VEH1104 Clean2" sheetId="7" r:id="rId7"/>
    <sheet name="VHE0172 lastest" sheetId="5" r:id="rId8"/>
  </sheets>
  <definedNames>
    <definedName name="ExternalData_1" localSheetId="2" hidden="1">'VHE0172+1104'!$A$1:$D$133</definedName>
    <definedName name="ExternalData_2" localSheetId="6" hidden="1">'VEH1104 Clean2'!$A$1:$C$133</definedName>
    <definedName name="ExternalData_2" localSheetId="1" hidden="1">'VHE0172 lastest (3)'!$A$1:$C$133</definedName>
    <definedName name="ExternalData_3" localSheetId="0" hidden="1">'VEH1104 Clean2 (2)'!$A$1:$G$133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1" l="1"/>
  <c r="B26" i="2" a="1"/>
  <c r="B26" i="2" s="1"/>
  <c r="B25" i="2" a="1"/>
  <c r="B25" i="2" s="1"/>
  <c r="B24" i="2" a="1"/>
  <c r="B24" i="2" s="1"/>
  <c r="B23" i="2" a="1"/>
  <c r="B23" i="2" s="1"/>
  <c r="B22" i="2" a="1"/>
  <c r="B22" i="2" s="1"/>
  <c r="B21" i="2" a="1"/>
  <c r="B21" i="2" s="1"/>
  <c r="B20" i="2" a="1"/>
  <c r="B20" i="2" s="1"/>
  <c r="B19" i="2" a="1"/>
  <c r="B19" i="2" s="1"/>
  <c r="B18" i="2" a="1"/>
  <c r="B18" i="2" s="1"/>
  <c r="B17" i="2" a="1"/>
  <c r="B17" i="2" s="1"/>
  <c r="B16" i="2" a="1"/>
  <c r="B16" i="2" s="1"/>
  <c r="M13" i="2"/>
  <c r="N13" i="2"/>
  <c r="O13" i="2"/>
  <c r="O3" i="2"/>
  <c r="O4" i="2"/>
  <c r="O5" i="2"/>
  <c r="O6" i="2"/>
  <c r="O7" i="2"/>
  <c r="O8" i="2"/>
  <c r="O9" i="2"/>
  <c r="O10" i="2"/>
  <c r="O11" i="2"/>
  <c r="O12" i="2"/>
  <c r="O2" i="2"/>
  <c r="N3" i="2"/>
  <c r="N4" i="2"/>
  <c r="N5" i="2"/>
  <c r="N6" i="2"/>
  <c r="N7" i="2"/>
  <c r="N8" i="2"/>
  <c r="N9" i="2"/>
  <c r="N10" i="2"/>
  <c r="N11" i="2"/>
  <c r="N12" i="2"/>
  <c r="N2" i="2"/>
  <c r="M3" i="2"/>
  <c r="M4" i="2"/>
  <c r="M5" i="2"/>
  <c r="M6" i="2"/>
  <c r="M7" i="2"/>
  <c r="M8" i="2"/>
  <c r="M9" i="2"/>
  <c r="M10" i="2"/>
  <c r="M11" i="2"/>
  <c r="M12" i="2"/>
  <c r="M2" i="2"/>
  <c r="N13" i="1"/>
  <c r="L13" i="1"/>
  <c r="M13" i="1" s="1"/>
  <c r="N12" i="1"/>
  <c r="L12" i="1"/>
  <c r="M12" i="1" s="1"/>
  <c r="N11" i="1"/>
  <c r="L11" i="1"/>
  <c r="M11" i="1" s="1"/>
  <c r="N10" i="1"/>
  <c r="L10" i="1"/>
  <c r="M10" i="1" s="1"/>
  <c r="N9" i="1"/>
  <c r="L9" i="1"/>
  <c r="M9" i="1" s="1"/>
  <c r="N8" i="1"/>
  <c r="L8" i="1"/>
  <c r="M8" i="1" s="1"/>
  <c r="N7" i="1"/>
  <c r="L7" i="1"/>
  <c r="M7" i="1" s="1"/>
  <c r="N6" i="1"/>
  <c r="L6" i="1"/>
  <c r="M6" i="1" s="1"/>
  <c r="N5" i="1"/>
  <c r="L5" i="1"/>
  <c r="M5" i="1" s="1"/>
  <c r="N4" i="1"/>
  <c r="L4" i="1"/>
  <c r="M4" i="1" s="1"/>
  <c r="N3" i="1"/>
  <c r="L3" i="1"/>
  <c r="M3" i="1" s="1"/>
  <c r="N2" i="1"/>
  <c r="L2" i="1"/>
  <c r="M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964574-A8F2-004F-9CB1-FD06FC157A90}" keepAlive="1" name="Query - VEH1104 Clean2(1)" description="Connection to the 'VEH1104 Clean2' query in the workbook." type="5" refreshedVersion="8" background="1" saveData="1">
    <dbPr connection="Provider=Microsoft.Mashup.OleDb.1;Data Source=$Workbook$;Location=&quot;VEH1104 Clean2&quot;;Extended Properties=&quot;&quot;" command="SELECT * FROM [VEH1104 Clean2]"/>
  </connection>
  <connection id="2" xr16:uid="{83A16D7A-AA3E-5E4F-AAED-1AF5348CFED3}" keepAlive="1" name="Query - VHE0172 lastest (3)" description="Connection to the 'VHE0172 lastest (3)' query in the workbook." type="5" refreshedVersion="8" background="1" saveData="1">
    <dbPr connection="Provider=Microsoft.Mashup.OleDb.1;Data Source=$Workbook$;Location=&quot;VHE0172 lastest (3)&quot;;Extended Properties=&quot;&quot;" command="SELECT * FROM [VHE0172 lastest (3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<sst xmlns="http://schemas.openxmlformats.org/spreadsheetml/2006/main" count="604" uniqueCount="47">
  <si>
    <t>Growth 2023-2024</t>
  </si>
  <si>
    <t>% Growth 2023-2024</t>
  </si>
  <si>
    <t>% Growth 2015-2024</t>
  </si>
  <si>
    <t>Grand Total</t>
  </si>
  <si>
    <t>Sum of England</t>
  </si>
  <si>
    <t>Sum of South East</t>
  </si>
  <si>
    <t>Sum of South West</t>
  </si>
  <si>
    <t>Sum of North West</t>
  </si>
  <si>
    <t>Sum of East</t>
  </si>
  <si>
    <t>Sum of Yorkshire and The Humber</t>
  </si>
  <si>
    <t>Sum of London</t>
  </si>
  <si>
    <t>Sum of West Midlands</t>
  </si>
  <si>
    <t>Sum of Scotland</t>
  </si>
  <si>
    <t>Sum of East Midlands</t>
  </si>
  <si>
    <t>Sum of Wales</t>
  </si>
  <si>
    <t>Sum of North East</t>
  </si>
  <si>
    <t>Region</t>
  </si>
  <si>
    <t>Growth 2024-2025</t>
  </si>
  <si>
    <t>% Growth 2024-2025</t>
  </si>
  <si>
    <t>South East</t>
  </si>
  <si>
    <t>South West</t>
  </si>
  <si>
    <t>Yorkshire and The Humber</t>
  </si>
  <si>
    <t>London</t>
  </si>
  <si>
    <t>West Midlands</t>
  </si>
  <si>
    <t>Scotland</t>
  </si>
  <si>
    <t>East Midlands</t>
  </si>
  <si>
    <t>Wales</t>
  </si>
  <si>
    <t>North East</t>
  </si>
  <si>
    <t>East of England</t>
  </si>
  <si>
    <t>% Growth 2015-2025</t>
  </si>
  <si>
    <t>North West</t>
  </si>
  <si>
    <t>Northern Ireland</t>
  </si>
  <si>
    <t>Year</t>
  </si>
  <si>
    <t>EV Vehicles</t>
  </si>
  <si>
    <t>Licensed Vehicles</t>
  </si>
  <si>
    <t>Total Licensed Vehicles (Thousands)</t>
  </si>
  <si>
    <t>Column1</t>
  </si>
  <si>
    <t>Column2</t>
  </si>
  <si>
    <t>Column3</t>
  </si>
  <si>
    <t>EV Ve</t>
  </si>
  <si>
    <t>year</t>
  </si>
  <si>
    <t>region</t>
  </si>
  <si>
    <t>total_fleet</t>
  </si>
  <si>
    <t>new_evs</t>
  </si>
  <si>
    <t>penetration_rate</t>
  </si>
  <si>
    <t>target</t>
  </si>
  <si>
    <t>compliance_shortfall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</si>
</sst>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9" fontId="0" fillId="0" borderId="0" xfId="1" applyFont="1"/>
    <xf numFmtId="1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9">
    <dxf>
      <numFmt numFmtId="0" formatCode="General"/>
    </dxf>
    <dxf>
      <numFmt numFmtId="1" formatCode="0"/>
    </dxf>
    <dxf>
      <numFmt numFmtId="0" formatCode="General"/>
    </dxf>
    <dxf>
      <numFmt numFmtId="14" formatCode="0.00%"/>
    </dxf>
    <dxf>
      <numFmt numFmtId="1" formatCode="0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3D2208E2-DA9A-7647-9D41-EFA8DA858203}" autoFormatId="16" applyNumberFormats="0" applyBorderFormats="0" applyFontFormats="0" applyPatternFormats="0" applyAlignmentFormats="0" applyWidthHeightFormats="0">
  <queryTableRefresh nextId="9">
    <queryTableFields count="7">
      <queryTableField id="1" name="Year" tableColumnId="1"/>
      <queryTableField id="2" name="Region" tableColumnId="2"/>
      <queryTableField id="3" name="Licensed Vehicles" tableColumnId="3"/>
      <queryTableField id="4" name="EV Ve" tableColumnId="4"/>
      <queryTableField id="5" name="adoption" tableColumnId="5"/>
      <queryTableField id="6" name="Target" tableColumnId="6"/>
      <queryTableField id="7" name="compliance shortfall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ADD94F0-A522-074B-830B-150A7A8326DC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Region" tableColumnId="2"/>
      <queryTableField id="3" name="EV V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DC9DE0-9EFA-3D4E-B80D-F19B5CF0F67B}" name="VEH1104_Clean2_1" displayName="VEH1104_Clean2_1" ref="A1:G133" tableType="queryTable" totalsRowShown="0">
  <autoFilter ref="A1:G133" xr:uid="{15DC9DE0-9EFA-3D4E-B80D-F19B5CF0F67B}"/>
  <tableColumns count="7">
    <tableColumn id="1" xr3:uid="{1B342C25-C932-9F49-A61F-E33BDED357FE}" uniqueName="1" name="year" queryTableFieldId="1"/>
    <tableColumn id="2" xr3:uid="{3C02A571-3612-BC48-AA04-679209DA39D6}" uniqueName="2" name="region" queryTableFieldId="2" dataDxfId="8"/>
    <tableColumn id="3" xr3:uid="{6CBE1CDA-794B-4B48-9F76-24D9388F6536}" uniqueName="3" name="total_fleet" queryTableFieldId="3"/>
    <tableColumn id="4" xr3:uid="{44D80835-B090-D943-BA99-003D89F7A39C}" uniqueName="4" name="new_evs" queryTableFieldId="4"/>
    <tableColumn id="5" xr3:uid="{4BCC92C5-28B8-7641-BBD6-532D99555045}" uniqueName="5" name="penetration_rate" queryTableFieldId="5" dataDxfId="7" dataCellStyle="Per cent"/>
    <tableColumn id="6" xr3:uid="{3DFC7E56-60DB-A841-8104-6490106877DB}" uniqueName="6" name="target" queryTableFieldId="6"/>
    <tableColumn id="7" xr3:uid="{6B783008-6DAD-BE4F-A58F-5E35D44F8558}" uniqueName="7" name="compliance_shortfall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FBDC16-91A6-6C45-B33B-0A04EF91EE8E}" name="VHE0172_lastest__3" displayName="VHE0172_lastest__3" ref="A1:C133" tableType="queryTable" totalsRowShown="0">
  <autoFilter ref="A1:C133" xr:uid="{33FBDC16-91A6-6C45-B33B-0A04EF91EE8E}"/>
  <tableColumns count="3">
    <tableColumn id="1" xr3:uid="{29CC0891-0DDA-F74E-93B7-72A65C1A59DD}" uniqueName="1" name="Year" queryTableFieldId="1"/>
    <tableColumn id="2" xr3:uid="{A136E18B-9DB7-B349-ADAB-05158A28B36B}" uniqueName="2" name="Region" queryTableFieldId="2" dataDxfId="6"/>
    <tableColumn id="3" xr3:uid="{BB6B7028-699E-6347-A682-EC527E0CB816}" uniqueName="3" name="EV V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1F7F40-69E2-1B4B-B66A-A66BB7C5C35D}" name="VHE0172_lastest4" displayName="VHE0172_lastest4" ref="A1:G133" totalsRowShown="0">
  <autoFilter ref="A1:G133" xr:uid="{941F7F40-69E2-1B4B-B66A-A66BB7C5C35D}"/>
  <tableColumns count="7">
    <tableColumn id="1" xr3:uid="{E437128B-CAC1-CB45-B1FF-582950FDDF43}" name="Year"/>
    <tableColumn id="2" xr3:uid="{D55BCE04-055C-FA42-9ED0-0C14585D42CB}" name="Region" dataDxfId="5"/>
    <tableColumn id="3" xr3:uid="{16FADDA8-72B4-B84E-BD77-C97BEF383C1A}" name="EV Vehicles"/>
    <tableColumn id="4" xr3:uid="{BD5594FC-35F2-3144-8B8B-23C2C3CC6E38}" name="Total Licensed Vehicles (Thousands)" dataDxfId="4"/>
    <tableColumn id="5" xr3:uid="{25410622-6890-A043-9D67-A34C882DAB61}" name="Column1" dataDxfId="3" dataCellStyle="Per cent"/>
    <tableColumn id="6" xr3:uid="{C0E0450A-0B96-704F-ADB9-3E330529D02B}" name="Column2" dataDxfId="2"/>
    <tableColumn id="7" xr3:uid="{C968355F-FB16-4E48-A382-F6CA081B6DF1}" name="Column3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687D51-5AEE-154C-8D4A-4260FB797194}" name="VEH1104_Clean2" displayName="VEH1104_Clean2" ref="A1:C133" totalsRowShown="0">
  <autoFilter ref="A1:C133" xr:uid="{AE687D51-5AEE-154C-8D4A-4260FB797194}"/>
  <tableColumns count="3">
    <tableColumn id="1" xr3:uid="{111F7606-A080-FE48-8103-7C3AAF99D5FD}" name="Year"/>
    <tableColumn id="2" xr3:uid="{3EA020C6-BB36-6A4F-B8C1-4330C3C7125D}" name="Region" dataDxfId="0"/>
    <tableColumn id="3" xr3:uid="{6A6BAD3D-487F-744E-ABF1-D9D6B27F1B67}" name="Licensed Vehicl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0F1E2-D18D-5A4E-B628-BB6577A7E0B4}">
  <sheetPr codeName="Sheet1"/>
  <dimension ref="A1:G133"/>
  <sheetViews>
    <sheetView tabSelected="1" workbookViewId="0">
      <selection activeCell="E2" sqref="E2"/>
    </sheetView>
  </sheetViews>
  <sheetFormatPr baseColWidth="10" defaultRowHeight="16" x14ac:dyDescent="0.2"/>
  <cols>
    <col min="1" max="1" width="7.33203125" bestFit="1" customWidth="1"/>
    <col min="2" max="2" width="22.33203125" bestFit="1" customWidth="1"/>
    <col min="3" max="3" width="18.83203125" bestFit="1" customWidth="1"/>
    <col min="4" max="4" width="8.33203125" bestFit="1" customWidth="1"/>
    <col min="5" max="5" width="12.1640625" style="4" bestFit="1" customWidth="1"/>
    <col min="6" max="6" width="12.1640625" bestFit="1" customWidth="1"/>
    <col min="7" max="7" width="20.83203125" bestFit="1" customWidth="1"/>
  </cols>
  <sheetData>
    <row r="1" spans="1:7" x14ac:dyDescent="0.2">
      <c r="A1" t="s">
        <v>40</v>
      </c>
      <c r="B1" t="s">
        <v>41</v>
      </c>
      <c r="C1" t="s">
        <v>42</v>
      </c>
      <c r="D1" t="s">
        <v>43</v>
      </c>
      <c r="E1" s="4" t="s">
        <v>44</v>
      </c>
      <c r="F1" t="s">
        <v>45</v>
      </c>
      <c r="G1" t="s">
        <v>46</v>
      </c>
    </row>
    <row r="2" spans="1:7" x14ac:dyDescent="0.2">
      <c r="A2">
        <v>2015</v>
      </c>
      <c r="B2" t="s">
        <v>24</v>
      </c>
      <c r="C2">
        <f>9543.863*1000</f>
        <v>9543863</v>
      </c>
      <c r="D2">
        <v>1324</v>
      </c>
      <c r="E2" s="4">
        <v>1.3872789246869999E-4</v>
      </c>
      <c r="F2">
        <v>3149474.7900000005</v>
      </c>
      <c r="G2">
        <v>3148150.7900000005</v>
      </c>
    </row>
    <row r="3" spans="1:7" x14ac:dyDescent="0.2">
      <c r="A3">
        <v>2015</v>
      </c>
      <c r="B3" t="s">
        <v>19</v>
      </c>
      <c r="C3">
        <v>19740141</v>
      </c>
      <c r="D3">
        <v>5555</v>
      </c>
      <c r="E3" s="4">
        <v>2.8140629795906697E-4</v>
      </c>
      <c r="F3">
        <v>6514246.5300000003</v>
      </c>
      <c r="G3">
        <v>6508691.5300000003</v>
      </c>
    </row>
    <row r="4" spans="1:7" x14ac:dyDescent="0.2">
      <c r="A4">
        <v>2015</v>
      </c>
      <c r="B4" t="s">
        <v>26</v>
      </c>
      <c r="C4">
        <v>5973393</v>
      </c>
      <c r="D4">
        <v>620</v>
      </c>
      <c r="E4" s="4">
        <v>1.03793606079493E-4</v>
      </c>
      <c r="F4">
        <v>1971219.69</v>
      </c>
      <c r="G4">
        <v>1970599.69</v>
      </c>
    </row>
    <row r="5" spans="1:7" x14ac:dyDescent="0.2">
      <c r="A5">
        <v>2015</v>
      </c>
      <c r="B5" t="s">
        <v>20</v>
      </c>
      <c r="C5">
        <v>11965033.000000002</v>
      </c>
      <c r="D5">
        <v>4454</v>
      </c>
      <c r="E5" s="4">
        <v>3.7225137615583699E-4</v>
      </c>
      <c r="F5">
        <v>3948460.8900000006</v>
      </c>
      <c r="G5">
        <v>3944006.8900000006</v>
      </c>
    </row>
    <row r="6" spans="1:7" x14ac:dyDescent="0.2">
      <c r="A6">
        <v>2015</v>
      </c>
      <c r="B6" t="s">
        <v>28</v>
      </c>
      <c r="C6">
        <v>102096688</v>
      </c>
      <c r="D6">
        <v>4100</v>
      </c>
      <c r="E6" s="4">
        <v>4.0158011785847598E-5</v>
      </c>
      <c r="F6">
        <v>33691907.039999999</v>
      </c>
      <c r="G6">
        <v>33687807.039999999</v>
      </c>
    </row>
    <row r="7" spans="1:7" x14ac:dyDescent="0.2">
      <c r="A7">
        <v>2015</v>
      </c>
      <c r="B7" t="s">
        <v>30</v>
      </c>
      <c r="C7">
        <v>12492506.000000002</v>
      </c>
      <c r="D7">
        <v>1879</v>
      </c>
      <c r="E7" s="4">
        <v>1.5041017390746099E-4</v>
      </c>
      <c r="F7">
        <v>4122526.9800000004</v>
      </c>
      <c r="G7">
        <v>4120647.9800000004</v>
      </c>
    </row>
    <row r="8" spans="1:7" x14ac:dyDescent="0.2">
      <c r="A8">
        <v>2015</v>
      </c>
      <c r="B8" t="s">
        <v>21</v>
      </c>
      <c r="C8">
        <v>9323883.0000000019</v>
      </c>
      <c r="D8">
        <v>1945</v>
      </c>
      <c r="E8" s="4">
        <v>2.0860407622017599E-4</v>
      </c>
      <c r="F8">
        <v>3076881.3900000006</v>
      </c>
      <c r="G8">
        <v>3074936.3900000006</v>
      </c>
    </row>
    <row r="9" spans="1:7" x14ac:dyDescent="0.2">
      <c r="A9">
        <v>2015</v>
      </c>
      <c r="B9" t="s">
        <v>22</v>
      </c>
      <c r="C9">
        <v>10468506.000000002</v>
      </c>
      <c r="D9">
        <v>2334</v>
      </c>
      <c r="E9" s="4">
        <v>2.22954450233873E-4</v>
      </c>
      <c r="F9">
        <v>3454606.9800000004</v>
      </c>
      <c r="G9">
        <v>3452272.9800000004</v>
      </c>
    </row>
    <row r="10" spans="1:7" x14ac:dyDescent="0.2">
      <c r="A10">
        <v>2015</v>
      </c>
      <c r="B10" t="s">
        <v>31</v>
      </c>
      <c r="C10">
        <v>3642900</v>
      </c>
      <c r="D10">
        <v>431</v>
      </c>
      <c r="E10" s="4">
        <v>1.1831233358038899E-4</v>
      </c>
      <c r="F10">
        <v>1202157</v>
      </c>
      <c r="G10">
        <v>1201726</v>
      </c>
    </row>
    <row r="11" spans="1:7" x14ac:dyDescent="0.2">
      <c r="A11">
        <v>2015</v>
      </c>
      <c r="B11" t="s">
        <v>23</v>
      </c>
      <c r="C11">
        <v>11645216</v>
      </c>
      <c r="D11">
        <v>3798</v>
      </c>
      <c r="E11" s="4">
        <v>3.2614251208393198E-4</v>
      </c>
      <c r="F11">
        <v>3842921.2800000003</v>
      </c>
      <c r="G11">
        <v>3839123.2800000003</v>
      </c>
    </row>
    <row r="12" spans="1:7" x14ac:dyDescent="0.2">
      <c r="A12">
        <v>2015</v>
      </c>
      <c r="B12" t="s">
        <v>25</v>
      </c>
      <c r="C12">
        <v>9212748</v>
      </c>
      <c r="D12">
        <v>1442</v>
      </c>
      <c r="E12" s="4">
        <v>1.5652224504566901E-4</v>
      </c>
      <c r="F12">
        <v>3040206.84</v>
      </c>
      <c r="G12">
        <v>3038764.84</v>
      </c>
    </row>
    <row r="13" spans="1:7" x14ac:dyDescent="0.2">
      <c r="A13">
        <v>2015</v>
      </c>
      <c r="B13" t="s">
        <v>27</v>
      </c>
      <c r="C13">
        <v>4333010</v>
      </c>
      <c r="D13">
        <v>846</v>
      </c>
      <c r="E13" s="4">
        <v>1.95245337536724E-4</v>
      </c>
      <c r="F13">
        <v>1429893.3</v>
      </c>
      <c r="G13">
        <v>1429047.3</v>
      </c>
    </row>
    <row r="14" spans="1:7" x14ac:dyDescent="0.2">
      <c r="A14">
        <v>2016</v>
      </c>
      <c r="B14" t="s">
        <v>24</v>
      </c>
      <c r="C14">
        <v>9685814</v>
      </c>
      <c r="D14">
        <v>1439</v>
      </c>
      <c r="E14" s="4">
        <v>1.48567792030696E-4</v>
      </c>
      <c r="F14">
        <v>3196318.62</v>
      </c>
      <c r="G14">
        <v>3194879.62</v>
      </c>
    </row>
    <row r="15" spans="1:7" x14ac:dyDescent="0.2">
      <c r="A15">
        <v>2016</v>
      </c>
      <c r="B15" t="s">
        <v>19</v>
      </c>
      <c r="C15">
        <v>20270462</v>
      </c>
      <c r="D15">
        <v>8610</v>
      </c>
      <c r="E15" s="4">
        <v>4.2475598237474798E-4</v>
      </c>
      <c r="F15">
        <v>6689252.46</v>
      </c>
      <c r="G15">
        <v>6680642.46</v>
      </c>
    </row>
    <row r="16" spans="1:7" x14ac:dyDescent="0.2">
      <c r="A16">
        <v>2016</v>
      </c>
      <c r="B16" t="s">
        <v>26</v>
      </c>
      <c r="C16">
        <v>6073593</v>
      </c>
      <c r="D16">
        <v>612</v>
      </c>
      <c r="E16" s="4">
        <v>1.00764078198852E-4</v>
      </c>
      <c r="F16">
        <v>2004285.69</v>
      </c>
      <c r="G16">
        <v>2003673.69</v>
      </c>
    </row>
    <row r="17" spans="1:7" x14ac:dyDescent="0.2">
      <c r="A17">
        <v>2016</v>
      </c>
      <c r="B17" t="s">
        <v>20</v>
      </c>
      <c r="C17">
        <v>12260497.000000002</v>
      </c>
      <c r="D17">
        <v>4299</v>
      </c>
      <c r="E17" s="4">
        <v>3.5063831425430797E-4</v>
      </c>
      <c r="F17">
        <v>4045964.0100000002</v>
      </c>
      <c r="G17">
        <v>4041665.0100000002</v>
      </c>
    </row>
    <row r="18" spans="1:7" x14ac:dyDescent="0.2">
      <c r="A18">
        <v>2016</v>
      </c>
      <c r="B18" t="s">
        <v>28</v>
      </c>
      <c r="C18">
        <v>104398347</v>
      </c>
      <c r="D18">
        <v>6844</v>
      </c>
      <c r="E18" s="4">
        <v>6.5556593534953195E-5</v>
      </c>
      <c r="F18">
        <v>34451454.509999998</v>
      </c>
      <c r="G18">
        <v>34444610.509999998</v>
      </c>
    </row>
    <row r="19" spans="1:7" x14ac:dyDescent="0.2">
      <c r="A19">
        <v>2016</v>
      </c>
      <c r="B19" t="s">
        <v>30</v>
      </c>
      <c r="C19">
        <v>12653334</v>
      </c>
      <c r="D19">
        <v>1978</v>
      </c>
      <c r="E19" s="4">
        <v>1.56322436442443E-4</v>
      </c>
      <c r="F19">
        <v>4175600.22</v>
      </c>
      <c r="G19">
        <v>4173622.22</v>
      </c>
    </row>
    <row r="20" spans="1:7" x14ac:dyDescent="0.2">
      <c r="A20">
        <v>2016</v>
      </c>
      <c r="B20" t="s">
        <v>21</v>
      </c>
      <c r="C20">
        <v>9569271</v>
      </c>
      <c r="D20">
        <v>3127</v>
      </c>
      <c r="E20" s="4">
        <v>3.2677515350960402E-4</v>
      </c>
      <c r="F20">
        <v>3157859.43</v>
      </c>
      <c r="G20">
        <v>3154732.43</v>
      </c>
    </row>
    <row r="21" spans="1:7" x14ac:dyDescent="0.2">
      <c r="A21">
        <v>2016</v>
      </c>
      <c r="B21" t="s">
        <v>22</v>
      </c>
      <c r="C21">
        <v>10633381.000000002</v>
      </c>
      <c r="D21">
        <v>4138</v>
      </c>
      <c r="E21" s="4">
        <v>3.8915186054181599E-4</v>
      </c>
      <c r="F21">
        <v>3509015.7300000004</v>
      </c>
      <c r="G21">
        <v>3504877.7300000004</v>
      </c>
    </row>
    <row r="22" spans="1:7" x14ac:dyDescent="0.2">
      <c r="A22">
        <v>2016</v>
      </c>
      <c r="B22" t="s">
        <v>31</v>
      </c>
      <c r="C22">
        <v>3737500</v>
      </c>
      <c r="D22">
        <v>452</v>
      </c>
      <c r="E22" s="4">
        <v>1.20936454849498E-4</v>
      </c>
      <c r="F22">
        <v>1233375</v>
      </c>
      <c r="G22">
        <v>1232923</v>
      </c>
    </row>
    <row r="23" spans="1:7" x14ac:dyDescent="0.2">
      <c r="A23">
        <v>2016</v>
      </c>
      <c r="B23" t="s">
        <v>23</v>
      </c>
      <c r="C23">
        <v>11960869</v>
      </c>
      <c r="D23">
        <v>6026</v>
      </c>
      <c r="E23" s="4">
        <v>5.0380954761731795E-4</v>
      </c>
      <c r="F23">
        <v>3947086.77</v>
      </c>
      <c r="G23">
        <v>3941060.77</v>
      </c>
    </row>
    <row r="24" spans="1:7" x14ac:dyDescent="0.2">
      <c r="A24">
        <v>2016</v>
      </c>
      <c r="B24" t="s">
        <v>25</v>
      </c>
      <c r="C24">
        <v>9383466.9999999981</v>
      </c>
      <c r="D24">
        <v>2134</v>
      </c>
      <c r="E24" s="4">
        <v>2.2742127190301801E-4</v>
      </c>
      <c r="F24">
        <v>3096544.1099999994</v>
      </c>
      <c r="G24">
        <v>3094410.1099999994</v>
      </c>
    </row>
    <row r="25" spans="1:7" x14ac:dyDescent="0.2">
      <c r="A25">
        <v>2016</v>
      </c>
      <c r="B25" t="s">
        <v>27</v>
      </c>
      <c r="C25">
        <v>4404557.0000000009</v>
      </c>
      <c r="D25">
        <v>668</v>
      </c>
      <c r="E25" s="4">
        <v>1.5166110916489401E-4</v>
      </c>
      <c r="F25">
        <v>1453503.8100000003</v>
      </c>
      <c r="G25">
        <v>1452835.8100000003</v>
      </c>
    </row>
    <row r="26" spans="1:7" x14ac:dyDescent="0.2">
      <c r="A26">
        <v>2017</v>
      </c>
      <c r="B26" t="s">
        <v>24</v>
      </c>
      <c r="C26">
        <v>9846493</v>
      </c>
      <c r="D26">
        <v>2437</v>
      </c>
      <c r="E26" s="4">
        <v>2.4749928730970498E-4</v>
      </c>
      <c r="F26">
        <v>3249342.69</v>
      </c>
      <c r="G26">
        <v>3246905.69</v>
      </c>
    </row>
    <row r="27" spans="1:7" x14ac:dyDescent="0.2">
      <c r="A27">
        <v>2017</v>
      </c>
      <c r="B27" t="s">
        <v>19</v>
      </c>
      <c r="C27">
        <v>20621220.999999996</v>
      </c>
      <c r="D27">
        <v>10009</v>
      </c>
      <c r="E27" s="4">
        <v>4.8537378072811501E-4</v>
      </c>
      <c r="F27">
        <v>6805002.9299999997</v>
      </c>
      <c r="G27">
        <v>6794993.9299999997</v>
      </c>
    </row>
    <row r="28" spans="1:7" x14ac:dyDescent="0.2">
      <c r="A28">
        <v>2017</v>
      </c>
      <c r="B28" t="s">
        <v>26</v>
      </c>
      <c r="C28">
        <v>6162561.0000000009</v>
      </c>
      <c r="D28">
        <v>827</v>
      </c>
      <c r="E28" s="4">
        <v>1.34197454597204E-4</v>
      </c>
      <c r="F28">
        <v>2033645.1300000001</v>
      </c>
      <c r="G28">
        <v>2032818.1300000001</v>
      </c>
    </row>
    <row r="29" spans="1:7" x14ac:dyDescent="0.2">
      <c r="A29">
        <v>2017</v>
      </c>
      <c r="B29" t="s">
        <v>20</v>
      </c>
      <c r="C29">
        <v>12605789.999999998</v>
      </c>
      <c r="D29">
        <v>6116</v>
      </c>
      <c r="E29" s="4">
        <v>4.8517387644883802E-4</v>
      </c>
      <c r="F29">
        <v>4159910.6999999997</v>
      </c>
      <c r="G29">
        <v>4153794.6999999997</v>
      </c>
    </row>
    <row r="30" spans="1:7" x14ac:dyDescent="0.2">
      <c r="A30">
        <v>2017</v>
      </c>
      <c r="B30" t="s">
        <v>28</v>
      </c>
      <c r="C30">
        <v>106316757.00000001</v>
      </c>
      <c r="D30">
        <v>7419</v>
      </c>
      <c r="E30" s="4">
        <v>6.9782038216233404E-5</v>
      </c>
      <c r="F30">
        <v>35084529.810000002</v>
      </c>
      <c r="G30">
        <v>35077110.810000002</v>
      </c>
    </row>
    <row r="31" spans="1:7" x14ac:dyDescent="0.2">
      <c r="A31">
        <v>2017</v>
      </c>
      <c r="B31" t="s">
        <v>30</v>
      </c>
      <c r="C31">
        <v>12829181</v>
      </c>
      <c r="D31">
        <v>2613</v>
      </c>
      <c r="E31" s="4">
        <v>2.03676290793621E-4</v>
      </c>
      <c r="F31">
        <v>4233629.7300000004</v>
      </c>
      <c r="G31">
        <v>4231016.7300000004</v>
      </c>
    </row>
    <row r="32" spans="1:7" x14ac:dyDescent="0.2">
      <c r="A32">
        <v>2017</v>
      </c>
      <c r="B32" t="s">
        <v>21</v>
      </c>
      <c r="C32">
        <v>9778707.9999999981</v>
      </c>
      <c r="D32">
        <v>4039</v>
      </c>
      <c r="E32" s="4">
        <v>4.13040250307096E-4</v>
      </c>
      <c r="F32">
        <v>3226973.6399999997</v>
      </c>
      <c r="G32">
        <v>3222934.6399999997</v>
      </c>
    </row>
    <row r="33" spans="1:7" x14ac:dyDescent="0.2">
      <c r="A33">
        <v>2017</v>
      </c>
      <c r="B33" t="s">
        <v>22</v>
      </c>
      <c r="C33">
        <v>10707989.000000002</v>
      </c>
      <c r="D33">
        <v>6452</v>
      </c>
      <c r="E33" s="4">
        <v>6.0254077586370297E-4</v>
      </c>
      <c r="F33">
        <v>3533636.3700000006</v>
      </c>
      <c r="G33">
        <v>3527184.3700000006</v>
      </c>
    </row>
    <row r="34" spans="1:7" x14ac:dyDescent="0.2">
      <c r="A34">
        <v>2017</v>
      </c>
      <c r="B34" t="s">
        <v>31</v>
      </c>
      <c r="C34">
        <v>3831600</v>
      </c>
      <c r="D34">
        <v>616</v>
      </c>
      <c r="E34" s="4">
        <v>1.60768347426662E-4</v>
      </c>
      <c r="F34">
        <v>1264428</v>
      </c>
      <c r="G34">
        <v>1263812</v>
      </c>
    </row>
    <row r="35" spans="1:7" x14ac:dyDescent="0.2">
      <c r="A35">
        <v>2017</v>
      </c>
      <c r="B35" t="s">
        <v>23</v>
      </c>
      <c r="C35">
        <v>12249707.999999998</v>
      </c>
      <c r="D35">
        <v>7376</v>
      </c>
      <c r="E35" s="4">
        <v>6.0213680195478998E-4</v>
      </c>
      <c r="F35">
        <v>4042403.6399999997</v>
      </c>
      <c r="G35">
        <v>4035027.6399999997</v>
      </c>
    </row>
    <row r="36" spans="1:7" x14ac:dyDescent="0.2">
      <c r="A36">
        <v>2017</v>
      </c>
      <c r="B36" t="s">
        <v>25</v>
      </c>
      <c r="C36">
        <v>9571719</v>
      </c>
      <c r="D36">
        <v>2736</v>
      </c>
      <c r="E36" s="4">
        <v>2.8584207288158002E-4</v>
      </c>
      <c r="F36">
        <v>3158667.2699999996</v>
      </c>
      <c r="G36">
        <v>3155931.2699999996</v>
      </c>
    </row>
    <row r="37" spans="1:7" x14ac:dyDescent="0.2">
      <c r="A37">
        <v>2017</v>
      </c>
      <c r="B37" t="s">
        <v>27</v>
      </c>
      <c r="C37">
        <v>4473669</v>
      </c>
      <c r="D37">
        <v>797</v>
      </c>
      <c r="E37" s="4">
        <v>1.7815354689853E-4</v>
      </c>
      <c r="F37">
        <v>1476310.77</v>
      </c>
      <c r="G37">
        <v>1475513.77</v>
      </c>
    </row>
    <row r="38" spans="1:7" x14ac:dyDescent="0.2">
      <c r="A38">
        <v>2018</v>
      </c>
      <c r="B38" t="s">
        <v>24</v>
      </c>
      <c r="C38">
        <v>9929728</v>
      </c>
      <c r="D38">
        <v>3391</v>
      </c>
      <c r="E38" s="4">
        <v>3.4149978730535198E-4</v>
      </c>
      <c r="F38">
        <v>3276810.2399999998</v>
      </c>
      <c r="G38">
        <v>3273419.2399999998</v>
      </c>
    </row>
    <row r="39" spans="1:7" x14ac:dyDescent="0.2">
      <c r="A39">
        <v>2018</v>
      </c>
      <c r="B39" t="s">
        <v>19</v>
      </c>
      <c r="C39">
        <v>20831826</v>
      </c>
      <c r="D39">
        <v>14013</v>
      </c>
      <c r="E39" s="4">
        <v>6.7267266921296296E-4</v>
      </c>
      <c r="F39">
        <v>6874502.5800000001</v>
      </c>
      <c r="G39">
        <v>6860489.5800000001</v>
      </c>
    </row>
    <row r="40" spans="1:7" x14ac:dyDescent="0.2">
      <c r="A40">
        <v>2018</v>
      </c>
      <c r="B40" t="s">
        <v>26</v>
      </c>
      <c r="C40">
        <v>6222410</v>
      </c>
      <c r="D40">
        <v>871</v>
      </c>
      <c r="E40" s="4">
        <v>1.3997791852353E-4</v>
      </c>
      <c r="F40">
        <v>2053395.3</v>
      </c>
      <c r="G40">
        <v>2052524.3</v>
      </c>
    </row>
    <row r="41" spans="1:7" x14ac:dyDescent="0.2">
      <c r="A41">
        <v>2018</v>
      </c>
      <c r="B41" t="s">
        <v>20</v>
      </c>
      <c r="C41">
        <v>12786099.999999998</v>
      </c>
      <c r="D41">
        <v>8287</v>
      </c>
      <c r="E41" s="4">
        <v>6.4812569900125905E-4</v>
      </c>
      <c r="F41">
        <v>4219412.9999999991</v>
      </c>
      <c r="G41">
        <v>4211125.9999999991</v>
      </c>
    </row>
    <row r="42" spans="1:7" x14ac:dyDescent="0.2">
      <c r="A42">
        <v>2018</v>
      </c>
      <c r="B42" t="s">
        <v>28</v>
      </c>
      <c r="C42">
        <v>107242702</v>
      </c>
      <c r="D42">
        <v>7964</v>
      </c>
      <c r="E42" s="4">
        <v>7.4261463498001006E-5</v>
      </c>
      <c r="F42">
        <v>35390091.660000004</v>
      </c>
      <c r="G42">
        <v>35382127.660000004</v>
      </c>
    </row>
    <row r="43" spans="1:7" x14ac:dyDescent="0.2">
      <c r="A43">
        <v>2018</v>
      </c>
      <c r="B43" t="s">
        <v>30</v>
      </c>
      <c r="C43">
        <v>12991345</v>
      </c>
      <c r="D43">
        <v>2410</v>
      </c>
      <c r="E43" s="4">
        <v>1.85508120983624E-4</v>
      </c>
      <c r="F43">
        <v>4287143.8499999996</v>
      </c>
      <c r="G43">
        <v>4284733.8499999996</v>
      </c>
    </row>
    <row r="44" spans="1:7" x14ac:dyDescent="0.2">
      <c r="A44">
        <v>2018</v>
      </c>
      <c r="B44" t="s">
        <v>21</v>
      </c>
      <c r="C44">
        <v>9941610.9999999981</v>
      </c>
      <c r="D44">
        <v>4836</v>
      </c>
      <c r="E44" s="4">
        <v>4.8644027612828602E-4</v>
      </c>
      <c r="F44">
        <v>3280731.63</v>
      </c>
      <c r="G44">
        <v>3275895.63</v>
      </c>
    </row>
    <row r="45" spans="1:7" x14ac:dyDescent="0.2">
      <c r="A45">
        <v>2018</v>
      </c>
      <c r="B45" t="s">
        <v>22</v>
      </c>
      <c r="C45">
        <v>10680084</v>
      </c>
      <c r="D45">
        <v>5319</v>
      </c>
      <c r="E45" s="4">
        <v>4.9802979077692602E-4</v>
      </c>
      <c r="F45">
        <v>3524427.72</v>
      </c>
      <c r="G45">
        <v>3519108.72</v>
      </c>
    </row>
    <row r="46" spans="1:7" x14ac:dyDescent="0.2">
      <c r="A46">
        <v>2018</v>
      </c>
      <c r="B46" t="s">
        <v>31</v>
      </c>
      <c r="C46">
        <v>3891400</v>
      </c>
      <c r="D46">
        <v>700</v>
      </c>
      <c r="E46" s="4">
        <v>1.7988384643059099E-4</v>
      </c>
      <c r="F46">
        <v>1284162</v>
      </c>
      <c r="G46">
        <v>1283462</v>
      </c>
    </row>
    <row r="47" spans="1:7" x14ac:dyDescent="0.2">
      <c r="A47">
        <v>2018</v>
      </c>
      <c r="B47" t="s">
        <v>23</v>
      </c>
      <c r="C47">
        <v>12333814</v>
      </c>
      <c r="D47">
        <v>8835</v>
      </c>
      <c r="E47" s="4">
        <v>7.1632343409751395E-4</v>
      </c>
      <c r="F47">
        <v>4070158.62</v>
      </c>
      <c r="G47">
        <v>4061323.62</v>
      </c>
    </row>
    <row r="48" spans="1:7" x14ac:dyDescent="0.2">
      <c r="A48">
        <v>2018</v>
      </c>
      <c r="B48" t="s">
        <v>25</v>
      </c>
      <c r="C48">
        <v>9674311</v>
      </c>
      <c r="D48">
        <v>3029</v>
      </c>
      <c r="E48" s="4">
        <v>3.1309723245407398E-4</v>
      </c>
      <c r="F48">
        <v>3192522.63</v>
      </c>
      <c r="G48">
        <v>3189493.63</v>
      </c>
    </row>
    <row r="49" spans="1:7" x14ac:dyDescent="0.2">
      <c r="A49">
        <v>2018</v>
      </c>
      <c r="B49" t="s">
        <v>27</v>
      </c>
      <c r="C49">
        <v>4517444</v>
      </c>
      <c r="D49">
        <v>651</v>
      </c>
      <c r="E49" s="4">
        <v>1.44108039856166E-4</v>
      </c>
      <c r="F49">
        <v>1490756.5200000003</v>
      </c>
      <c r="G49">
        <v>1490105.5200000003</v>
      </c>
    </row>
    <row r="50" spans="1:7" x14ac:dyDescent="0.2">
      <c r="A50">
        <v>2019</v>
      </c>
      <c r="B50" t="s">
        <v>24</v>
      </c>
      <c r="C50">
        <v>10071392</v>
      </c>
      <c r="D50">
        <v>4707</v>
      </c>
      <c r="E50" s="4">
        <v>4.6736339922028697E-4</v>
      </c>
      <c r="F50">
        <v>3323559.36</v>
      </c>
      <c r="G50">
        <v>3318852.36</v>
      </c>
    </row>
    <row r="51" spans="1:7" x14ac:dyDescent="0.2">
      <c r="A51">
        <v>2019</v>
      </c>
      <c r="B51" t="s">
        <v>19</v>
      </c>
      <c r="C51">
        <v>21017424</v>
      </c>
      <c r="D51">
        <v>15585</v>
      </c>
      <c r="E51" s="4">
        <v>7.4152760109897405E-4</v>
      </c>
      <c r="F51">
        <v>6935749.9199999999</v>
      </c>
      <c r="G51">
        <v>6920164.9199999999</v>
      </c>
    </row>
    <row r="52" spans="1:7" x14ac:dyDescent="0.2">
      <c r="A52">
        <v>2019</v>
      </c>
      <c r="B52" t="s">
        <v>26</v>
      </c>
      <c r="C52">
        <v>6311586</v>
      </c>
      <c r="D52">
        <v>1127</v>
      </c>
      <c r="E52" s="4">
        <v>1.7856050761250799E-4</v>
      </c>
      <c r="F52">
        <v>2082823.3800000001</v>
      </c>
      <c r="G52">
        <v>2081696.3800000001</v>
      </c>
    </row>
    <row r="53" spans="1:7" x14ac:dyDescent="0.2">
      <c r="A53">
        <v>2019</v>
      </c>
      <c r="B53" t="s">
        <v>20</v>
      </c>
      <c r="C53">
        <v>13105450</v>
      </c>
      <c r="D53">
        <v>8101</v>
      </c>
      <c r="E53" s="4">
        <v>6.18139781541267E-4</v>
      </c>
      <c r="F53">
        <v>4324798.5</v>
      </c>
      <c r="G53">
        <v>4316697.5</v>
      </c>
    </row>
    <row r="54" spans="1:7" x14ac:dyDescent="0.2">
      <c r="A54">
        <v>2019</v>
      </c>
      <c r="B54" t="s">
        <v>28</v>
      </c>
      <c r="C54">
        <v>108491162</v>
      </c>
      <c r="D54">
        <v>8460</v>
      </c>
      <c r="E54" s="4">
        <v>7.7978702080820202E-5</v>
      </c>
      <c r="F54">
        <v>35802083.460000001</v>
      </c>
      <c r="G54">
        <v>35793623.460000001</v>
      </c>
    </row>
    <row r="55" spans="1:7" x14ac:dyDescent="0.2">
      <c r="A55">
        <v>2019</v>
      </c>
      <c r="B55" t="s">
        <v>30</v>
      </c>
      <c r="C55">
        <v>13224905</v>
      </c>
      <c r="D55">
        <v>3493</v>
      </c>
      <c r="E55" s="4">
        <v>2.6412288027777899E-4</v>
      </c>
      <c r="F55">
        <v>4364218.6500000004</v>
      </c>
      <c r="G55">
        <v>4360725.6500000004</v>
      </c>
    </row>
    <row r="56" spans="1:7" x14ac:dyDescent="0.2">
      <c r="A56">
        <v>2019</v>
      </c>
      <c r="B56" t="s">
        <v>21</v>
      </c>
      <c r="C56">
        <v>10153206</v>
      </c>
      <c r="D56">
        <v>7447</v>
      </c>
      <c r="E56" s="4">
        <v>7.3346290816910398E-4</v>
      </c>
      <c r="F56">
        <v>3350557.98</v>
      </c>
      <c r="G56">
        <v>3343110.98</v>
      </c>
    </row>
    <row r="57" spans="1:7" x14ac:dyDescent="0.2">
      <c r="A57">
        <v>2019</v>
      </c>
      <c r="B57" t="s">
        <v>22</v>
      </c>
      <c r="C57">
        <v>10675576</v>
      </c>
      <c r="D57">
        <v>7456</v>
      </c>
      <c r="E57" s="4">
        <v>6.9841664749517997E-4</v>
      </c>
      <c r="F57">
        <v>3522940.0799999996</v>
      </c>
      <c r="G57">
        <v>3515484.0799999996</v>
      </c>
    </row>
    <row r="58" spans="1:7" x14ac:dyDescent="0.2">
      <c r="A58">
        <v>2019</v>
      </c>
      <c r="B58" t="s">
        <v>31</v>
      </c>
      <c r="C58">
        <v>3966500</v>
      </c>
      <c r="D58">
        <v>805</v>
      </c>
      <c r="E58" s="4">
        <v>2.0294970376906601E-4</v>
      </c>
      <c r="F58">
        <v>1308945</v>
      </c>
      <c r="G58">
        <v>1308140</v>
      </c>
    </row>
    <row r="59" spans="1:7" x14ac:dyDescent="0.2">
      <c r="A59">
        <v>2019</v>
      </c>
      <c r="B59" t="s">
        <v>23</v>
      </c>
      <c r="C59">
        <v>12298439.999999998</v>
      </c>
      <c r="D59">
        <v>11716</v>
      </c>
      <c r="E59" s="4">
        <v>9.5264114798299603E-4</v>
      </c>
      <c r="F59">
        <v>4058485.1999999997</v>
      </c>
      <c r="G59">
        <v>4046769.1999999997</v>
      </c>
    </row>
    <row r="60" spans="1:7" x14ac:dyDescent="0.2">
      <c r="A60">
        <v>2019</v>
      </c>
      <c r="B60" t="s">
        <v>25</v>
      </c>
      <c r="C60">
        <v>9832531</v>
      </c>
      <c r="D60">
        <v>3250</v>
      </c>
      <c r="E60" s="4">
        <v>3.3053544402758599E-4</v>
      </c>
      <c r="F60">
        <v>3244735.2300000004</v>
      </c>
      <c r="G60">
        <v>3241485.2300000004</v>
      </c>
    </row>
    <row r="61" spans="1:7" x14ac:dyDescent="0.2">
      <c r="A61">
        <v>2019</v>
      </c>
      <c r="B61" t="s">
        <v>27</v>
      </c>
      <c r="C61">
        <v>4594427</v>
      </c>
      <c r="D61">
        <v>825</v>
      </c>
      <c r="E61" s="4">
        <v>1.7956537344047499E-4</v>
      </c>
      <c r="F61">
        <v>1516160.91</v>
      </c>
      <c r="G61">
        <v>1515335.91</v>
      </c>
    </row>
    <row r="62" spans="1:7" x14ac:dyDescent="0.2">
      <c r="A62">
        <v>2020</v>
      </c>
      <c r="B62" t="s">
        <v>24</v>
      </c>
      <c r="C62">
        <v>10078609</v>
      </c>
      <c r="D62">
        <v>10585</v>
      </c>
      <c r="E62" s="4">
        <v>1.05024413587232E-3</v>
      </c>
      <c r="F62">
        <v>3325940.97</v>
      </c>
      <c r="G62">
        <v>3315355.97</v>
      </c>
    </row>
    <row r="63" spans="1:7" x14ac:dyDescent="0.2">
      <c r="A63">
        <v>2020</v>
      </c>
      <c r="B63" t="s">
        <v>19</v>
      </c>
      <c r="C63">
        <v>20846218</v>
      </c>
      <c r="D63">
        <v>38968</v>
      </c>
      <c r="E63" s="4">
        <v>1.8693079003587101E-3</v>
      </c>
      <c r="F63">
        <v>6879251.9400000004</v>
      </c>
      <c r="G63">
        <v>6840283.9400000004</v>
      </c>
    </row>
    <row r="64" spans="1:7" x14ac:dyDescent="0.2">
      <c r="A64">
        <v>2020</v>
      </c>
      <c r="B64" t="s">
        <v>26</v>
      </c>
      <c r="C64">
        <v>6314272</v>
      </c>
      <c r="D64">
        <v>3340</v>
      </c>
      <c r="E64" s="4">
        <v>5.2896042489141998E-4</v>
      </c>
      <c r="F64">
        <v>2083709.76</v>
      </c>
      <c r="G64">
        <v>2080369.76</v>
      </c>
    </row>
    <row r="65" spans="1:7" x14ac:dyDescent="0.2">
      <c r="A65">
        <v>2020</v>
      </c>
      <c r="B65" t="s">
        <v>20</v>
      </c>
      <c r="C65">
        <v>13071927</v>
      </c>
      <c r="D65">
        <v>28510</v>
      </c>
      <c r="E65" s="4">
        <v>2.18100973177099E-3</v>
      </c>
      <c r="F65">
        <v>4313735.91</v>
      </c>
      <c r="G65">
        <v>4285225.91</v>
      </c>
    </row>
    <row r="66" spans="1:7" x14ac:dyDescent="0.2">
      <c r="A66">
        <v>2020</v>
      </c>
      <c r="B66" t="s">
        <v>28</v>
      </c>
      <c r="C66">
        <v>108296642</v>
      </c>
      <c r="D66">
        <v>17357</v>
      </c>
      <c r="E66" s="4">
        <v>1.6027274419090501E-4</v>
      </c>
      <c r="F66">
        <v>35737891.859999999</v>
      </c>
      <c r="G66">
        <v>35720534.859999999</v>
      </c>
    </row>
    <row r="67" spans="1:7" x14ac:dyDescent="0.2">
      <c r="A67">
        <v>2020</v>
      </c>
      <c r="B67" t="s">
        <v>30</v>
      </c>
      <c r="C67">
        <v>13691101.999999998</v>
      </c>
      <c r="D67">
        <v>14372</v>
      </c>
      <c r="E67" s="4">
        <v>1.0497328849058301E-3</v>
      </c>
      <c r="F67">
        <v>4518063.6599999992</v>
      </c>
      <c r="G67">
        <v>4503691.6599999992</v>
      </c>
    </row>
    <row r="68" spans="1:7" x14ac:dyDescent="0.2">
      <c r="A68">
        <v>2020</v>
      </c>
      <c r="B68" t="s">
        <v>21</v>
      </c>
      <c r="C68">
        <v>10196695</v>
      </c>
      <c r="D68">
        <v>16688</v>
      </c>
      <c r="E68" s="4">
        <v>1.63660872468972E-3</v>
      </c>
      <c r="F68">
        <v>3364909.35</v>
      </c>
      <c r="G68">
        <v>3348221.35</v>
      </c>
    </row>
    <row r="69" spans="1:7" x14ac:dyDescent="0.2">
      <c r="A69">
        <v>2020</v>
      </c>
      <c r="B69" t="s">
        <v>22</v>
      </c>
      <c r="C69">
        <v>10593224</v>
      </c>
      <c r="D69">
        <v>12131</v>
      </c>
      <c r="E69" s="4">
        <v>1.1451660042306299E-3</v>
      </c>
      <c r="F69">
        <v>3495763.92</v>
      </c>
      <c r="G69">
        <v>3483632.92</v>
      </c>
    </row>
    <row r="70" spans="1:7" x14ac:dyDescent="0.2">
      <c r="A70">
        <v>2020</v>
      </c>
      <c r="B70" t="s">
        <v>31</v>
      </c>
      <c r="C70">
        <v>3983700</v>
      </c>
      <c r="D70">
        <v>1912</v>
      </c>
      <c r="E70" s="4">
        <v>4.7995581996636299E-4</v>
      </c>
      <c r="F70">
        <v>1314621</v>
      </c>
      <c r="G70">
        <v>1312709</v>
      </c>
    </row>
    <row r="71" spans="1:7" x14ac:dyDescent="0.2">
      <c r="A71">
        <v>2020</v>
      </c>
      <c r="B71" t="s">
        <v>23</v>
      </c>
      <c r="C71">
        <v>11875025.000000002</v>
      </c>
      <c r="D71">
        <v>18626</v>
      </c>
      <c r="E71" s="4">
        <v>1.5685019610485E-3</v>
      </c>
      <c r="F71">
        <v>3918758.2500000005</v>
      </c>
      <c r="G71">
        <v>3900132.2500000005</v>
      </c>
    </row>
    <row r="72" spans="1:7" x14ac:dyDescent="0.2">
      <c r="A72">
        <v>2020</v>
      </c>
      <c r="B72" t="s">
        <v>25</v>
      </c>
      <c r="C72">
        <v>9798498</v>
      </c>
      <c r="D72">
        <v>6768</v>
      </c>
      <c r="E72" s="4">
        <v>6.9071810802022904E-4</v>
      </c>
      <c r="F72">
        <v>3233504.34</v>
      </c>
      <c r="G72">
        <v>3226736.34</v>
      </c>
    </row>
    <row r="73" spans="1:7" x14ac:dyDescent="0.2">
      <c r="A73">
        <v>2020</v>
      </c>
      <c r="B73" t="s">
        <v>27</v>
      </c>
      <c r="C73">
        <v>4629313</v>
      </c>
      <c r="D73">
        <v>1898</v>
      </c>
      <c r="E73" s="4">
        <v>4.0999604044919801E-4</v>
      </c>
      <c r="F73">
        <v>1527673.29</v>
      </c>
      <c r="G73">
        <v>1525775.29</v>
      </c>
    </row>
    <row r="74" spans="1:7" x14ac:dyDescent="0.2">
      <c r="A74">
        <v>2021</v>
      </c>
      <c r="B74" t="s">
        <v>24</v>
      </c>
      <c r="C74">
        <v>10106632.000000002</v>
      </c>
      <c r="D74">
        <v>16974</v>
      </c>
      <c r="E74" s="4">
        <v>1.6794912489145699E-3</v>
      </c>
      <c r="F74">
        <v>3335188.5600000005</v>
      </c>
      <c r="G74">
        <v>3318214.5600000005</v>
      </c>
    </row>
    <row r="75" spans="1:7" x14ac:dyDescent="0.2">
      <c r="A75">
        <v>2021</v>
      </c>
      <c r="B75" t="s">
        <v>19</v>
      </c>
      <c r="C75">
        <v>20895302</v>
      </c>
      <c r="D75">
        <v>62110</v>
      </c>
      <c r="E75" s="4">
        <v>2.9724384935905699E-3</v>
      </c>
      <c r="F75">
        <v>6895449.6600000001</v>
      </c>
      <c r="G75">
        <v>6833339.6600000001</v>
      </c>
    </row>
    <row r="76" spans="1:7" x14ac:dyDescent="0.2">
      <c r="A76">
        <v>2021</v>
      </c>
      <c r="B76" t="s">
        <v>26</v>
      </c>
      <c r="C76">
        <v>6352106</v>
      </c>
      <c r="D76">
        <v>5459</v>
      </c>
      <c r="E76" s="4">
        <v>8.5940001630955198E-4</v>
      </c>
      <c r="F76">
        <v>2096194.98</v>
      </c>
      <c r="G76">
        <v>2090735.98</v>
      </c>
    </row>
    <row r="77" spans="1:7" x14ac:dyDescent="0.2">
      <c r="A77">
        <v>2021</v>
      </c>
      <c r="B77" t="s">
        <v>20</v>
      </c>
      <c r="C77">
        <v>13091657.000000002</v>
      </c>
      <c r="D77">
        <v>47315</v>
      </c>
      <c r="E77" s="4">
        <v>3.6141337952865699E-3</v>
      </c>
      <c r="F77">
        <v>4320246.8100000005</v>
      </c>
      <c r="G77">
        <v>4272931.8100000005</v>
      </c>
    </row>
    <row r="78" spans="1:7" x14ac:dyDescent="0.2">
      <c r="A78">
        <v>2021</v>
      </c>
      <c r="B78" t="s">
        <v>28</v>
      </c>
      <c r="C78">
        <v>108549269</v>
      </c>
      <c r="D78">
        <v>33383</v>
      </c>
      <c r="E78" s="4">
        <v>3.0753776886327999E-4</v>
      </c>
      <c r="F78">
        <v>35821258.770000003</v>
      </c>
      <c r="G78">
        <v>35787875.770000003</v>
      </c>
    </row>
    <row r="79" spans="1:7" x14ac:dyDescent="0.2">
      <c r="A79">
        <v>2021</v>
      </c>
      <c r="B79" t="s">
        <v>30</v>
      </c>
      <c r="C79">
        <v>14109633.000000002</v>
      </c>
      <c r="D79">
        <v>38915</v>
      </c>
      <c r="E79" s="4">
        <v>2.75804480527594E-3</v>
      </c>
      <c r="F79">
        <v>4656178.8900000006</v>
      </c>
      <c r="G79">
        <v>4617263.8900000006</v>
      </c>
    </row>
    <row r="80" spans="1:7" x14ac:dyDescent="0.2">
      <c r="A80">
        <v>2021</v>
      </c>
      <c r="B80" t="s">
        <v>21</v>
      </c>
      <c r="C80">
        <v>10269183</v>
      </c>
      <c r="D80">
        <v>26567</v>
      </c>
      <c r="E80" s="4">
        <v>2.5870607233311601E-3</v>
      </c>
      <c r="F80">
        <v>3388830.3899999997</v>
      </c>
      <c r="G80">
        <v>3362263.3899999997</v>
      </c>
    </row>
    <row r="81" spans="1:7" x14ac:dyDescent="0.2">
      <c r="A81">
        <v>2021</v>
      </c>
      <c r="B81" t="s">
        <v>22</v>
      </c>
      <c r="C81">
        <v>10509793</v>
      </c>
      <c r="D81">
        <v>23188</v>
      </c>
      <c r="E81" s="4">
        <v>2.2063231882873402E-3</v>
      </c>
      <c r="F81">
        <v>3468231.69</v>
      </c>
      <c r="G81">
        <v>3445043.69</v>
      </c>
    </row>
    <row r="82" spans="1:7" x14ac:dyDescent="0.2">
      <c r="A82">
        <v>2021</v>
      </c>
      <c r="B82" t="s">
        <v>31</v>
      </c>
      <c r="C82">
        <v>4050300</v>
      </c>
      <c r="D82">
        <v>3699</v>
      </c>
      <c r="E82" s="4">
        <v>9.1326568402340597E-4</v>
      </c>
      <c r="F82">
        <v>1336599</v>
      </c>
      <c r="G82">
        <v>1332900</v>
      </c>
    </row>
    <row r="83" spans="1:7" x14ac:dyDescent="0.2">
      <c r="A83">
        <v>2021</v>
      </c>
      <c r="B83" t="s">
        <v>23</v>
      </c>
      <c r="C83">
        <v>11499863</v>
      </c>
      <c r="D83">
        <v>23322</v>
      </c>
      <c r="E83" s="4">
        <v>2.0280241599399899E-3</v>
      </c>
      <c r="F83">
        <v>3794954.7899999996</v>
      </c>
      <c r="G83">
        <v>3771632.7899999996</v>
      </c>
    </row>
    <row r="84" spans="1:7" x14ac:dyDescent="0.2">
      <c r="A84">
        <v>2021</v>
      </c>
      <c r="B84" t="s">
        <v>25</v>
      </c>
      <c r="C84">
        <v>9877996</v>
      </c>
      <c r="D84">
        <v>13551</v>
      </c>
      <c r="E84" s="4">
        <v>1.37183695964242E-3</v>
      </c>
      <c r="F84">
        <v>3259738.6799999997</v>
      </c>
      <c r="G84">
        <v>3246187.6799999997</v>
      </c>
    </row>
    <row r="85" spans="1:7" x14ac:dyDescent="0.2">
      <c r="A85">
        <v>2021</v>
      </c>
      <c r="B85" t="s">
        <v>27</v>
      </c>
      <c r="C85">
        <v>4669929</v>
      </c>
      <c r="D85">
        <v>4783</v>
      </c>
      <c r="E85" s="4">
        <v>1.0242125736815301E-3</v>
      </c>
      <c r="F85">
        <v>1541076.57</v>
      </c>
      <c r="G85">
        <v>1536293.57</v>
      </c>
    </row>
    <row r="86" spans="1:7" x14ac:dyDescent="0.2">
      <c r="A86">
        <v>2022</v>
      </c>
      <c r="B86" t="s">
        <v>24</v>
      </c>
      <c r="C86">
        <v>10137519</v>
      </c>
      <c r="D86">
        <v>21066</v>
      </c>
      <c r="E86" s="4">
        <v>2.0780232323115702E-3</v>
      </c>
      <c r="F86">
        <v>3345381.27</v>
      </c>
      <c r="G86">
        <v>3324315.27</v>
      </c>
    </row>
    <row r="87" spans="1:7" x14ac:dyDescent="0.2">
      <c r="A87">
        <v>2022</v>
      </c>
      <c r="B87" t="s">
        <v>19</v>
      </c>
      <c r="C87">
        <v>21214026</v>
      </c>
      <c r="D87">
        <v>79865</v>
      </c>
      <c r="E87" s="4">
        <v>3.7647262240557301E-3</v>
      </c>
      <c r="F87">
        <v>7000628.580000001</v>
      </c>
      <c r="G87">
        <v>6920763.580000001</v>
      </c>
    </row>
    <row r="88" spans="1:7" x14ac:dyDescent="0.2">
      <c r="A88">
        <v>2022</v>
      </c>
      <c r="B88" t="s">
        <v>26</v>
      </c>
      <c r="C88">
        <v>6394315.0000000009</v>
      </c>
      <c r="D88">
        <v>7501</v>
      </c>
      <c r="E88" s="4">
        <v>1.17307326898972E-3</v>
      </c>
      <c r="F88">
        <v>2110123.9500000002</v>
      </c>
      <c r="G88">
        <v>2102622.9500000002</v>
      </c>
    </row>
    <row r="89" spans="1:7" x14ac:dyDescent="0.2">
      <c r="A89">
        <v>2022</v>
      </c>
      <c r="B89" t="s">
        <v>20</v>
      </c>
      <c r="C89">
        <v>13177274</v>
      </c>
      <c r="D89">
        <v>50690</v>
      </c>
      <c r="E89" s="4">
        <v>3.84677437837295E-3</v>
      </c>
      <c r="F89">
        <v>4348500.42</v>
      </c>
      <c r="G89">
        <v>4297810.42</v>
      </c>
    </row>
    <row r="90" spans="1:7" x14ac:dyDescent="0.2">
      <c r="A90">
        <v>2022</v>
      </c>
      <c r="B90" t="s">
        <v>28</v>
      </c>
      <c r="C90">
        <v>109310973</v>
      </c>
      <c r="D90">
        <v>33157</v>
      </c>
      <c r="E90" s="4">
        <v>3.0332727895487698E-4</v>
      </c>
      <c r="F90">
        <v>36072621.089999996</v>
      </c>
      <c r="G90">
        <v>36039464.089999996</v>
      </c>
    </row>
    <row r="91" spans="1:7" x14ac:dyDescent="0.2">
      <c r="A91">
        <v>2022</v>
      </c>
      <c r="B91" t="s">
        <v>30</v>
      </c>
      <c r="C91">
        <v>14230592</v>
      </c>
      <c r="D91">
        <v>56537</v>
      </c>
      <c r="E91" s="4">
        <v>3.9729197492275803E-3</v>
      </c>
      <c r="F91">
        <v>4696095.3600000003</v>
      </c>
      <c r="G91">
        <v>4639558.3600000003</v>
      </c>
    </row>
    <row r="92" spans="1:7" x14ac:dyDescent="0.2">
      <c r="A92">
        <v>2022</v>
      </c>
      <c r="B92" t="s">
        <v>21</v>
      </c>
      <c r="C92">
        <v>10397741</v>
      </c>
      <c r="D92">
        <v>31980</v>
      </c>
      <c r="E92" s="4">
        <v>3.0756680705934102E-3</v>
      </c>
      <c r="F92">
        <v>3431254.53</v>
      </c>
      <c r="G92">
        <v>3399274.53</v>
      </c>
    </row>
    <row r="93" spans="1:7" x14ac:dyDescent="0.2">
      <c r="A93">
        <v>2022</v>
      </c>
      <c r="B93" t="s">
        <v>22</v>
      </c>
      <c r="C93">
        <v>10441134.999999998</v>
      </c>
      <c r="D93">
        <v>30948</v>
      </c>
      <c r="E93" s="4">
        <v>2.9640455755049599E-3</v>
      </c>
      <c r="F93">
        <v>3445574.5499999993</v>
      </c>
      <c r="G93">
        <v>3414626.5499999993</v>
      </c>
    </row>
    <row r="94" spans="1:7" x14ac:dyDescent="0.2">
      <c r="A94">
        <v>2022</v>
      </c>
      <c r="B94" t="s">
        <v>31</v>
      </c>
      <c r="C94">
        <v>4061600</v>
      </c>
      <c r="D94">
        <v>5211</v>
      </c>
      <c r="E94" s="4">
        <v>1.2829919243647801E-3</v>
      </c>
      <c r="F94">
        <v>1340328</v>
      </c>
      <c r="G94">
        <v>1335117</v>
      </c>
    </row>
    <row r="95" spans="1:7" x14ac:dyDescent="0.2">
      <c r="A95">
        <v>2022</v>
      </c>
      <c r="B95" t="s">
        <v>23</v>
      </c>
      <c r="C95">
        <v>11558656</v>
      </c>
      <c r="D95">
        <v>23787</v>
      </c>
      <c r="E95" s="4">
        <v>2.0579382239596E-3</v>
      </c>
      <c r="F95">
        <v>3814356.4800000004</v>
      </c>
      <c r="G95">
        <v>3790569.4800000004</v>
      </c>
    </row>
    <row r="96" spans="1:7" x14ac:dyDescent="0.2">
      <c r="A96">
        <v>2022</v>
      </c>
      <c r="B96" t="s">
        <v>25</v>
      </c>
      <c r="C96">
        <v>9956622</v>
      </c>
      <c r="D96">
        <v>16853</v>
      </c>
      <c r="E96" s="4">
        <v>1.6926423439596299E-3</v>
      </c>
      <c r="F96">
        <v>3285685.26</v>
      </c>
      <c r="G96">
        <v>3268832.26</v>
      </c>
    </row>
    <row r="97" spans="1:7" x14ac:dyDescent="0.2">
      <c r="A97">
        <v>2022</v>
      </c>
      <c r="B97" t="s">
        <v>27</v>
      </c>
      <c r="C97">
        <v>4714612.0000000009</v>
      </c>
      <c r="D97">
        <v>5839</v>
      </c>
      <c r="E97" s="4">
        <v>1.2384900390530499E-3</v>
      </c>
      <c r="F97">
        <v>1555821.9600000004</v>
      </c>
      <c r="G97">
        <v>1549982.9600000004</v>
      </c>
    </row>
    <row r="98" spans="1:7" x14ac:dyDescent="0.2">
      <c r="A98">
        <v>2023</v>
      </c>
      <c r="B98" t="s">
        <v>24</v>
      </c>
      <c r="C98">
        <v>10238992</v>
      </c>
      <c r="D98">
        <v>24736</v>
      </c>
      <c r="E98" s="4">
        <v>2.4158628114955101E-3</v>
      </c>
      <c r="F98">
        <v>3378867.36</v>
      </c>
      <c r="G98">
        <v>3354131.36</v>
      </c>
    </row>
    <row r="99" spans="1:7" x14ac:dyDescent="0.2">
      <c r="A99">
        <v>2023</v>
      </c>
      <c r="B99" t="s">
        <v>19</v>
      </c>
      <c r="C99">
        <v>21613311</v>
      </c>
      <c r="D99">
        <v>115533</v>
      </c>
      <c r="E99" s="4">
        <v>5.3454558628245399E-3</v>
      </c>
      <c r="F99">
        <v>7132392.6300000008</v>
      </c>
      <c r="G99">
        <v>7016859.6300000008</v>
      </c>
    </row>
    <row r="100" spans="1:7" x14ac:dyDescent="0.2">
      <c r="A100">
        <v>2023</v>
      </c>
      <c r="B100" t="s">
        <v>26</v>
      </c>
      <c r="C100">
        <v>6457373</v>
      </c>
      <c r="D100">
        <v>8119</v>
      </c>
      <c r="E100" s="4">
        <v>1.25732244366246E-3</v>
      </c>
      <c r="F100">
        <v>2130933.09</v>
      </c>
      <c r="G100">
        <v>2122814.09</v>
      </c>
    </row>
    <row r="101" spans="1:7" x14ac:dyDescent="0.2">
      <c r="A101">
        <v>2023</v>
      </c>
      <c r="B101" t="s">
        <v>20</v>
      </c>
      <c r="C101">
        <v>13294921.999999998</v>
      </c>
      <c r="D101">
        <v>58707</v>
      </c>
      <c r="E101" s="4">
        <v>4.4157461021583997E-3</v>
      </c>
      <c r="F101">
        <v>4387324.26</v>
      </c>
      <c r="G101">
        <v>4328617.26</v>
      </c>
    </row>
    <row r="102" spans="1:7" x14ac:dyDescent="0.2">
      <c r="A102">
        <v>2023</v>
      </c>
      <c r="B102" t="s">
        <v>28</v>
      </c>
      <c r="C102">
        <v>110576830</v>
      </c>
      <c r="D102">
        <v>41320</v>
      </c>
      <c r="E102" s="4">
        <v>3.73676836277546E-4</v>
      </c>
      <c r="F102">
        <v>36490353.899999999</v>
      </c>
      <c r="G102">
        <v>36449033.899999999</v>
      </c>
    </row>
    <row r="103" spans="1:7" x14ac:dyDescent="0.2">
      <c r="A103">
        <v>2023</v>
      </c>
      <c r="B103" t="s">
        <v>30</v>
      </c>
      <c r="C103">
        <v>14444152</v>
      </c>
      <c r="D103">
        <v>69989</v>
      </c>
      <c r="E103" s="4">
        <v>4.8454904102366103E-3</v>
      </c>
      <c r="F103">
        <v>4766570.16</v>
      </c>
      <c r="G103">
        <v>4696581.16</v>
      </c>
    </row>
    <row r="104" spans="1:7" x14ac:dyDescent="0.2">
      <c r="A104">
        <v>2023</v>
      </c>
      <c r="B104" t="s">
        <v>21</v>
      </c>
      <c r="C104">
        <v>10539456</v>
      </c>
      <c r="D104">
        <v>36458</v>
      </c>
      <c r="E104" s="4">
        <v>3.4591918216651798E-3</v>
      </c>
      <c r="F104">
        <v>3478020.48</v>
      </c>
      <c r="G104">
        <v>3441562.48</v>
      </c>
    </row>
    <row r="105" spans="1:7" x14ac:dyDescent="0.2">
      <c r="A105">
        <v>2023</v>
      </c>
      <c r="B105" t="s">
        <v>22</v>
      </c>
      <c r="C105">
        <v>10405553</v>
      </c>
      <c r="D105">
        <v>37946</v>
      </c>
      <c r="E105" s="4">
        <v>3.6467067151548802E-3</v>
      </c>
      <c r="F105">
        <v>3433832.4899999998</v>
      </c>
      <c r="G105">
        <v>3395886.4899999998</v>
      </c>
    </row>
    <row r="106" spans="1:7" x14ac:dyDescent="0.2">
      <c r="A106">
        <v>2023</v>
      </c>
      <c r="B106" t="s">
        <v>31</v>
      </c>
      <c r="C106">
        <v>4123000</v>
      </c>
      <c r="D106">
        <v>7397</v>
      </c>
      <c r="E106" s="4">
        <v>1.7940819791414E-3</v>
      </c>
      <c r="F106">
        <v>1360590</v>
      </c>
      <c r="G106">
        <v>1353193</v>
      </c>
    </row>
    <row r="107" spans="1:7" x14ac:dyDescent="0.2">
      <c r="A107">
        <v>2023</v>
      </c>
      <c r="B107" t="s">
        <v>23</v>
      </c>
      <c r="C107">
        <v>11679957</v>
      </c>
      <c r="D107">
        <v>23653</v>
      </c>
      <c r="E107" s="4">
        <v>2.0250930718323699E-3</v>
      </c>
      <c r="F107">
        <v>3854385.81</v>
      </c>
      <c r="G107">
        <v>3830732.81</v>
      </c>
    </row>
    <row r="108" spans="1:7" x14ac:dyDescent="0.2">
      <c r="A108">
        <v>2023</v>
      </c>
      <c r="B108" t="s">
        <v>25</v>
      </c>
      <c r="C108">
        <v>10099853</v>
      </c>
      <c r="D108">
        <v>23336</v>
      </c>
      <c r="E108" s="4">
        <v>2.3105286779916499E-3</v>
      </c>
      <c r="F108">
        <v>3332951.4899999998</v>
      </c>
      <c r="G108">
        <v>3309615.4899999998</v>
      </c>
    </row>
    <row r="109" spans="1:7" x14ac:dyDescent="0.2">
      <c r="A109">
        <v>2023</v>
      </c>
      <c r="B109" t="s">
        <v>27</v>
      </c>
      <c r="C109">
        <v>4773451</v>
      </c>
      <c r="D109">
        <v>6181</v>
      </c>
      <c r="E109" s="4">
        <v>1.2948703149985199E-3</v>
      </c>
      <c r="F109">
        <v>1575238.83</v>
      </c>
      <c r="G109">
        <v>1569057.83</v>
      </c>
    </row>
    <row r="110" spans="1:7" x14ac:dyDescent="0.2">
      <c r="A110">
        <v>2024</v>
      </c>
      <c r="B110" t="s">
        <v>24</v>
      </c>
      <c r="C110">
        <v>10368380.000000002</v>
      </c>
      <c r="D110">
        <v>29600</v>
      </c>
      <c r="E110" s="4">
        <v>2.8548336384276E-3</v>
      </c>
      <c r="F110">
        <v>3421565.4000000004</v>
      </c>
      <c r="G110">
        <v>3391965.4000000004</v>
      </c>
    </row>
    <row r="111" spans="1:7" x14ac:dyDescent="0.2">
      <c r="A111">
        <v>2024</v>
      </c>
      <c r="B111" t="s">
        <v>19</v>
      </c>
      <c r="C111">
        <v>21955513</v>
      </c>
      <c r="D111">
        <v>140517</v>
      </c>
      <c r="E111" s="4">
        <v>6.4000781944835404E-3</v>
      </c>
      <c r="F111">
        <v>7245319.29</v>
      </c>
      <c r="G111">
        <v>7104802.29</v>
      </c>
    </row>
    <row r="112" spans="1:7" x14ac:dyDescent="0.2">
      <c r="A112">
        <v>2024</v>
      </c>
      <c r="B112" t="s">
        <v>26</v>
      </c>
      <c r="C112">
        <v>6541688</v>
      </c>
      <c r="D112">
        <v>10859</v>
      </c>
      <c r="E112" s="4">
        <v>1.6599691088905501E-3</v>
      </c>
      <c r="F112">
        <v>2158757.04</v>
      </c>
      <c r="G112">
        <v>2147898.04</v>
      </c>
    </row>
    <row r="113" spans="1:7" x14ac:dyDescent="0.2">
      <c r="A113">
        <v>2024</v>
      </c>
      <c r="B113" t="s">
        <v>20</v>
      </c>
      <c r="C113">
        <v>13446755</v>
      </c>
      <c r="D113">
        <v>67985</v>
      </c>
      <c r="E113" s="4">
        <v>5.05586663845664E-3</v>
      </c>
      <c r="F113">
        <v>4437429.1499999994</v>
      </c>
      <c r="G113">
        <v>4369444.1499999994</v>
      </c>
    </row>
    <row r="114" spans="1:7" x14ac:dyDescent="0.2">
      <c r="A114">
        <v>2024</v>
      </c>
      <c r="B114" t="s">
        <v>28</v>
      </c>
      <c r="C114">
        <v>112032485</v>
      </c>
      <c r="D114">
        <v>61878</v>
      </c>
      <c r="E114" s="4">
        <v>5.5232194483591105E-4</v>
      </c>
      <c r="F114">
        <v>36970720.049999997</v>
      </c>
      <c r="G114">
        <v>36908842.049999997</v>
      </c>
    </row>
    <row r="115" spans="1:7" x14ac:dyDescent="0.2">
      <c r="A115">
        <v>2024</v>
      </c>
      <c r="B115" t="s">
        <v>30</v>
      </c>
      <c r="C115">
        <v>14669518</v>
      </c>
      <c r="D115">
        <v>74724</v>
      </c>
      <c r="E115" s="4">
        <v>5.0938278953678003E-3</v>
      </c>
      <c r="F115">
        <v>4840940.9400000004</v>
      </c>
      <c r="G115">
        <v>4766216.9400000004</v>
      </c>
    </row>
    <row r="116" spans="1:7" x14ac:dyDescent="0.2">
      <c r="A116">
        <v>2024</v>
      </c>
      <c r="B116" t="s">
        <v>21</v>
      </c>
      <c r="C116">
        <v>10701824</v>
      </c>
      <c r="D116">
        <v>45043</v>
      </c>
      <c r="E116" s="4">
        <v>4.20890868696775E-3</v>
      </c>
      <c r="F116">
        <v>3531601.9200000004</v>
      </c>
      <c r="G116">
        <v>3486558.9200000004</v>
      </c>
    </row>
    <row r="117" spans="1:7" x14ac:dyDescent="0.2">
      <c r="A117">
        <v>2024</v>
      </c>
      <c r="B117" t="s">
        <v>22</v>
      </c>
      <c r="C117">
        <v>10440598</v>
      </c>
      <c r="D117">
        <v>44857</v>
      </c>
      <c r="E117" s="4">
        <v>4.2964014130225103E-3</v>
      </c>
      <c r="F117">
        <v>3445397.34</v>
      </c>
      <c r="G117">
        <v>3400540.34</v>
      </c>
    </row>
    <row r="118" spans="1:7" x14ac:dyDescent="0.2">
      <c r="A118">
        <v>2024</v>
      </c>
      <c r="B118" t="s">
        <v>31</v>
      </c>
      <c r="C118">
        <v>4190200</v>
      </c>
      <c r="D118">
        <v>9667</v>
      </c>
      <c r="E118" s="4">
        <v>2.3070497828265998E-3</v>
      </c>
      <c r="F118">
        <v>1382766</v>
      </c>
      <c r="G118">
        <v>1373099</v>
      </c>
    </row>
    <row r="119" spans="1:7" x14ac:dyDescent="0.2">
      <c r="A119">
        <v>2024</v>
      </c>
      <c r="B119" t="s">
        <v>23</v>
      </c>
      <c r="C119">
        <v>11787437.999999998</v>
      </c>
      <c r="D119">
        <v>26373</v>
      </c>
      <c r="E119" s="4">
        <v>2.2373818636416201E-3</v>
      </c>
      <c r="F119">
        <v>3889854.5399999996</v>
      </c>
      <c r="G119">
        <v>3863481.5399999996</v>
      </c>
    </row>
    <row r="120" spans="1:7" x14ac:dyDescent="0.2">
      <c r="A120">
        <v>2024</v>
      </c>
      <c r="B120" t="s">
        <v>25</v>
      </c>
      <c r="C120">
        <v>10236238.000000002</v>
      </c>
      <c r="D120">
        <v>27015</v>
      </c>
      <c r="E120" s="4">
        <v>2.6391531732654098E-3</v>
      </c>
      <c r="F120">
        <v>3377958.5400000005</v>
      </c>
      <c r="G120">
        <v>3350943.5400000005</v>
      </c>
    </row>
    <row r="121" spans="1:7" x14ac:dyDescent="0.2">
      <c r="A121">
        <v>2024</v>
      </c>
      <c r="B121" t="s">
        <v>27</v>
      </c>
      <c r="C121">
        <v>4844213</v>
      </c>
      <c r="D121">
        <v>9140</v>
      </c>
      <c r="E121" s="4">
        <v>1.8867873894067E-3</v>
      </c>
      <c r="F121">
        <v>1598590.2899999998</v>
      </c>
      <c r="G121">
        <v>1589450.2899999998</v>
      </c>
    </row>
    <row r="122" spans="1:7" x14ac:dyDescent="0.2">
      <c r="A122">
        <v>2025</v>
      </c>
      <c r="B122" t="s">
        <v>24</v>
      </c>
      <c r="C122">
        <v>7854119.0000000009</v>
      </c>
      <c r="D122">
        <v>30163</v>
      </c>
      <c r="E122" s="4">
        <v>3.8404052701518799E-3</v>
      </c>
      <c r="F122">
        <v>2591859.27</v>
      </c>
      <c r="G122">
        <v>2561696.27</v>
      </c>
    </row>
    <row r="123" spans="1:7" x14ac:dyDescent="0.2">
      <c r="A123">
        <v>2025</v>
      </c>
      <c r="B123" t="s">
        <v>19</v>
      </c>
      <c r="C123">
        <v>16814661</v>
      </c>
      <c r="D123">
        <v>154533</v>
      </c>
      <c r="E123" s="4">
        <v>9.1903726158975192E-3</v>
      </c>
      <c r="F123">
        <v>5548838.1299999999</v>
      </c>
      <c r="G123">
        <v>5394305.1299999999</v>
      </c>
    </row>
    <row r="124" spans="1:7" x14ac:dyDescent="0.2">
      <c r="A124">
        <v>2025</v>
      </c>
      <c r="B124" t="s">
        <v>26</v>
      </c>
      <c r="C124">
        <v>4962293</v>
      </c>
      <c r="D124">
        <v>10864</v>
      </c>
      <c r="E124" s="4">
        <v>2.1893104659478999E-3</v>
      </c>
      <c r="F124">
        <v>1637556.69</v>
      </c>
      <c r="G124">
        <v>1626692.69</v>
      </c>
    </row>
    <row r="125" spans="1:7" x14ac:dyDescent="0.2">
      <c r="A125">
        <v>2025</v>
      </c>
      <c r="B125" t="s">
        <v>20</v>
      </c>
      <c r="C125">
        <v>10152632</v>
      </c>
      <c r="D125">
        <v>56435</v>
      </c>
      <c r="E125" s="4">
        <v>5.5586571048768397E-3</v>
      </c>
      <c r="F125">
        <v>3350368.56</v>
      </c>
      <c r="G125">
        <v>3293933.56</v>
      </c>
    </row>
    <row r="126" spans="1:7" x14ac:dyDescent="0.2">
      <c r="A126">
        <v>2025</v>
      </c>
      <c r="B126" t="s">
        <v>28</v>
      </c>
      <c r="C126">
        <v>85087284</v>
      </c>
      <c r="D126">
        <v>53507</v>
      </c>
      <c r="E126" s="4">
        <v>6.2884837174965005E-4</v>
      </c>
      <c r="F126">
        <v>28078803.719999999</v>
      </c>
      <c r="G126">
        <v>28025296.719999999</v>
      </c>
    </row>
    <row r="127" spans="1:7" x14ac:dyDescent="0.2">
      <c r="A127">
        <v>2025</v>
      </c>
      <c r="B127" t="s">
        <v>30</v>
      </c>
      <c r="C127">
        <v>11130733</v>
      </c>
      <c r="D127">
        <v>66552</v>
      </c>
      <c r="E127" s="4">
        <v>5.9791210515965096E-3</v>
      </c>
      <c r="F127">
        <v>3673141.89</v>
      </c>
      <c r="G127">
        <v>3606589.89</v>
      </c>
    </row>
    <row r="128" spans="1:7" x14ac:dyDescent="0.2">
      <c r="A128">
        <v>2025</v>
      </c>
      <c r="B128" t="s">
        <v>21</v>
      </c>
      <c r="C128">
        <v>8121897</v>
      </c>
      <c r="D128">
        <v>40605</v>
      </c>
      <c r="E128" s="4">
        <v>4.9994477891064102E-3</v>
      </c>
      <c r="F128">
        <v>2680226.0099999998</v>
      </c>
      <c r="G128">
        <v>2639621.0099999998</v>
      </c>
    </row>
    <row r="129" spans="1:7" x14ac:dyDescent="0.2">
      <c r="A129">
        <v>2025</v>
      </c>
      <c r="B129" t="s">
        <v>22</v>
      </c>
      <c r="C129">
        <v>7872504.0000000009</v>
      </c>
      <c r="D129">
        <v>37939</v>
      </c>
      <c r="E129" s="4">
        <v>4.8191782436693602E-3</v>
      </c>
      <c r="F129">
        <v>2597926.3200000003</v>
      </c>
      <c r="G129">
        <v>2559987.3200000003</v>
      </c>
    </row>
    <row r="130" spans="1:7" x14ac:dyDescent="0.2">
      <c r="A130">
        <v>2025</v>
      </c>
      <c r="B130" t="s">
        <v>31</v>
      </c>
      <c r="C130">
        <v>3206600</v>
      </c>
      <c r="D130">
        <v>8980</v>
      </c>
      <c r="E130" s="4">
        <v>2.8004740223289502E-3</v>
      </c>
      <c r="F130">
        <v>1058178</v>
      </c>
      <c r="G130">
        <v>1049198</v>
      </c>
    </row>
    <row r="131" spans="1:7" x14ac:dyDescent="0.2">
      <c r="A131">
        <v>2025</v>
      </c>
      <c r="B131" t="s">
        <v>23</v>
      </c>
      <c r="C131">
        <v>8949758</v>
      </c>
      <c r="D131">
        <v>24789</v>
      </c>
      <c r="E131" s="4">
        <v>2.7697955631873E-3</v>
      </c>
      <c r="F131">
        <v>2953420.14</v>
      </c>
      <c r="G131">
        <v>2928631.14</v>
      </c>
    </row>
    <row r="132" spans="1:7" x14ac:dyDescent="0.2">
      <c r="A132">
        <v>2025</v>
      </c>
      <c r="B132" t="s">
        <v>25</v>
      </c>
      <c r="C132">
        <v>7737919</v>
      </c>
      <c r="D132">
        <v>27637</v>
      </c>
      <c r="E132" s="4">
        <v>3.57163211452588E-3</v>
      </c>
      <c r="F132">
        <v>2553513.27</v>
      </c>
      <c r="G132">
        <v>2525876.27</v>
      </c>
    </row>
    <row r="133" spans="1:7" x14ac:dyDescent="0.2">
      <c r="A133">
        <v>2025</v>
      </c>
      <c r="B133" t="s">
        <v>27</v>
      </c>
      <c r="C133">
        <v>3680076</v>
      </c>
      <c r="D133">
        <v>8657</v>
      </c>
      <c r="E133" s="4">
        <v>2.3523970700605099E-3</v>
      </c>
      <c r="F133">
        <v>1214425.08</v>
      </c>
      <c r="G133">
        <v>1205768.08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EEC67-FF13-B744-A794-77D498E2664F}">
  <sheetPr codeName="Sheet2"/>
  <dimension ref="A1:C133"/>
  <sheetViews>
    <sheetView workbookViewId="0">
      <selection sqref="A1:C133"/>
    </sheetView>
  </sheetViews>
  <sheetFormatPr baseColWidth="10" defaultRowHeight="16" x14ac:dyDescent="0.2"/>
  <cols>
    <col min="1" max="1" width="7.33203125" bestFit="1" customWidth="1"/>
    <col min="2" max="2" width="22.33203125" bestFit="1" customWidth="1"/>
    <col min="3" max="3" width="8.33203125" bestFit="1" customWidth="1"/>
  </cols>
  <sheetData>
    <row r="1" spans="1:3" x14ac:dyDescent="0.2">
      <c r="A1" t="s">
        <v>32</v>
      </c>
      <c r="B1" t="s">
        <v>16</v>
      </c>
      <c r="C1" t="s">
        <v>39</v>
      </c>
    </row>
    <row r="2" spans="1:3" x14ac:dyDescent="0.2">
      <c r="A2">
        <v>2015</v>
      </c>
      <c r="B2" t="s">
        <v>19</v>
      </c>
      <c r="C2">
        <v>5555</v>
      </c>
    </row>
    <row r="3" spans="1:3" x14ac:dyDescent="0.2">
      <c r="A3">
        <v>2015</v>
      </c>
      <c r="B3" t="s">
        <v>20</v>
      </c>
      <c r="C3">
        <v>4454</v>
      </c>
    </row>
    <row r="4" spans="1:3" x14ac:dyDescent="0.2">
      <c r="A4">
        <v>2015</v>
      </c>
      <c r="B4" t="s">
        <v>30</v>
      </c>
      <c r="C4">
        <v>1879</v>
      </c>
    </row>
    <row r="5" spans="1:3" x14ac:dyDescent="0.2">
      <c r="A5">
        <v>2015</v>
      </c>
      <c r="B5" t="s">
        <v>28</v>
      </c>
      <c r="C5">
        <v>4100</v>
      </c>
    </row>
    <row r="6" spans="1:3" x14ac:dyDescent="0.2">
      <c r="A6">
        <v>2015</v>
      </c>
      <c r="B6" t="s">
        <v>21</v>
      </c>
      <c r="C6">
        <v>1945</v>
      </c>
    </row>
    <row r="7" spans="1:3" x14ac:dyDescent="0.2">
      <c r="A7">
        <v>2015</v>
      </c>
      <c r="B7" t="s">
        <v>22</v>
      </c>
      <c r="C7">
        <v>2334</v>
      </c>
    </row>
    <row r="8" spans="1:3" x14ac:dyDescent="0.2">
      <c r="A8">
        <v>2015</v>
      </c>
      <c r="B8" t="s">
        <v>23</v>
      </c>
      <c r="C8">
        <v>3798</v>
      </c>
    </row>
    <row r="9" spans="1:3" x14ac:dyDescent="0.2">
      <c r="A9">
        <v>2015</v>
      </c>
      <c r="B9" t="s">
        <v>24</v>
      </c>
      <c r="C9">
        <v>1324</v>
      </c>
    </row>
    <row r="10" spans="1:3" x14ac:dyDescent="0.2">
      <c r="A10">
        <v>2015</v>
      </c>
      <c r="B10" t="s">
        <v>25</v>
      </c>
      <c r="C10">
        <v>1442</v>
      </c>
    </row>
    <row r="11" spans="1:3" x14ac:dyDescent="0.2">
      <c r="A11">
        <v>2015</v>
      </c>
      <c r="B11" t="s">
        <v>26</v>
      </c>
      <c r="C11">
        <v>620</v>
      </c>
    </row>
    <row r="12" spans="1:3" x14ac:dyDescent="0.2">
      <c r="A12">
        <v>2015</v>
      </c>
      <c r="B12" t="s">
        <v>27</v>
      </c>
      <c r="C12">
        <v>846</v>
      </c>
    </row>
    <row r="13" spans="1:3" x14ac:dyDescent="0.2">
      <c r="A13">
        <v>2015</v>
      </c>
      <c r="B13" t="s">
        <v>31</v>
      </c>
      <c r="C13">
        <v>431</v>
      </c>
    </row>
    <row r="14" spans="1:3" x14ac:dyDescent="0.2">
      <c r="A14">
        <v>2016</v>
      </c>
      <c r="B14" t="s">
        <v>19</v>
      </c>
      <c r="C14">
        <v>8610</v>
      </c>
    </row>
    <row r="15" spans="1:3" x14ac:dyDescent="0.2">
      <c r="A15">
        <v>2016</v>
      </c>
      <c r="B15" t="s">
        <v>20</v>
      </c>
      <c r="C15">
        <v>4299</v>
      </c>
    </row>
    <row r="16" spans="1:3" x14ac:dyDescent="0.2">
      <c r="A16">
        <v>2016</v>
      </c>
      <c r="B16" t="s">
        <v>30</v>
      </c>
      <c r="C16">
        <v>1978</v>
      </c>
    </row>
    <row r="17" spans="1:3" x14ac:dyDescent="0.2">
      <c r="A17">
        <v>2016</v>
      </c>
      <c r="B17" t="s">
        <v>28</v>
      </c>
      <c r="C17">
        <v>6844</v>
      </c>
    </row>
    <row r="18" spans="1:3" x14ac:dyDescent="0.2">
      <c r="A18">
        <v>2016</v>
      </c>
      <c r="B18" t="s">
        <v>21</v>
      </c>
      <c r="C18">
        <v>3127</v>
      </c>
    </row>
    <row r="19" spans="1:3" x14ac:dyDescent="0.2">
      <c r="A19">
        <v>2016</v>
      </c>
      <c r="B19" t="s">
        <v>22</v>
      </c>
      <c r="C19">
        <v>4138</v>
      </c>
    </row>
    <row r="20" spans="1:3" x14ac:dyDescent="0.2">
      <c r="A20">
        <v>2016</v>
      </c>
      <c r="B20" t="s">
        <v>23</v>
      </c>
      <c r="C20">
        <v>6026</v>
      </c>
    </row>
    <row r="21" spans="1:3" x14ac:dyDescent="0.2">
      <c r="A21">
        <v>2016</v>
      </c>
      <c r="B21" t="s">
        <v>24</v>
      </c>
      <c r="C21">
        <v>1439</v>
      </c>
    </row>
    <row r="22" spans="1:3" x14ac:dyDescent="0.2">
      <c r="A22">
        <v>2016</v>
      </c>
      <c r="B22" t="s">
        <v>25</v>
      </c>
      <c r="C22">
        <v>2134</v>
      </c>
    </row>
    <row r="23" spans="1:3" x14ac:dyDescent="0.2">
      <c r="A23">
        <v>2016</v>
      </c>
      <c r="B23" t="s">
        <v>26</v>
      </c>
      <c r="C23">
        <v>612</v>
      </c>
    </row>
    <row r="24" spans="1:3" x14ac:dyDescent="0.2">
      <c r="A24">
        <v>2016</v>
      </c>
      <c r="B24" t="s">
        <v>27</v>
      </c>
      <c r="C24">
        <v>668</v>
      </c>
    </row>
    <row r="25" spans="1:3" x14ac:dyDescent="0.2">
      <c r="A25">
        <v>2016</v>
      </c>
      <c r="B25" t="s">
        <v>31</v>
      </c>
      <c r="C25">
        <v>452</v>
      </c>
    </row>
    <row r="26" spans="1:3" x14ac:dyDescent="0.2">
      <c r="A26">
        <v>2017</v>
      </c>
      <c r="B26" t="s">
        <v>19</v>
      </c>
      <c r="C26">
        <v>10009</v>
      </c>
    </row>
    <row r="27" spans="1:3" x14ac:dyDescent="0.2">
      <c r="A27">
        <v>2017</v>
      </c>
      <c r="B27" t="s">
        <v>20</v>
      </c>
      <c r="C27">
        <v>6116</v>
      </c>
    </row>
    <row r="28" spans="1:3" x14ac:dyDescent="0.2">
      <c r="A28">
        <v>2017</v>
      </c>
      <c r="B28" t="s">
        <v>30</v>
      </c>
      <c r="C28">
        <v>2613</v>
      </c>
    </row>
    <row r="29" spans="1:3" x14ac:dyDescent="0.2">
      <c r="A29">
        <v>2017</v>
      </c>
      <c r="B29" t="s">
        <v>28</v>
      </c>
      <c r="C29">
        <v>7419</v>
      </c>
    </row>
    <row r="30" spans="1:3" x14ac:dyDescent="0.2">
      <c r="A30">
        <v>2017</v>
      </c>
      <c r="B30" t="s">
        <v>21</v>
      </c>
      <c r="C30">
        <v>4039</v>
      </c>
    </row>
    <row r="31" spans="1:3" x14ac:dyDescent="0.2">
      <c r="A31">
        <v>2017</v>
      </c>
      <c r="B31" t="s">
        <v>22</v>
      </c>
      <c r="C31">
        <v>6452</v>
      </c>
    </row>
    <row r="32" spans="1:3" x14ac:dyDescent="0.2">
      <c r="A32">
        <v>2017</v>
      </c>
      <c r="B32" t="s">
        <v>23</v>
      </c>
      <c r="C32">
        <v>7376</v>
      </c>
    </row>
    <row r="33" spans="1:3" x14ac:dyDescent="0.2">
      <c r="A33">
        <v>2017</v>
      </c>
      <c r="B33" t="s">
        <v>24</v>
      </c>
      <c r="C33">
        <v>2437</v>
      </c>
    </row>
    <row r="34" spans="1:3" x14ac:dyDescent="0.2">
      <c r="A34">
        <v>2017</v>
      </c>
      <c r="B34" t="s">
        <v>25</v>
      </c>
      <c r="C34">
        <v>2736</v>
      </c>
    </row>
    <row r="35" spans="1:3" x14ac:dyDescent="0.2">
      <c r="A35">
        <v>2017</v>
      </c>
      <c r="B35" t="s">
        <v>26</v>
      </c>
      <c r="C35">
        <v>827</v>
      </c>
    </row>
    <row r="36" spans="1:3" x14ac:dyDescent="0.2">
      <c r="A36">
        <v>2017</v>
      </c>
      <c r="B36" t="s">
        <v>27</v>
      </c>
      <c r="C36">
        <v>797</v>
      </c>
    </row>
    <row r="37" spans="1:3" x14ac:dyDescent="0.2">
      <c r="A37">
        <v>2017</v>
      </c>
      <c r="B37" t="s">
        <v>31</v>
      </c>
      <c r="C37">
        <v>616</v>
      </c>
    </row>
    <row r="38" spans="1:3" x14ac:dyDescent="0.2">
      <c r="A38">
        <v>2018</v>
      </c>
      <c r="B38" t="s">
        <v>19</v>
      </c>
      <c r="C38">
        <v>14013</v>
      </c>
    </row>
    <row r="39" spans="1:3" x14ac:dyDescent="0.2">
      <c r="A39">
        <v>2018</v>
      </c>
      <c r="B39" t="s">
        <v>20</v>
      </c>
      <c r="C39">
        <v>8287</v>
      </c>
    </row>
    <row r="40" spans="1:3" x14ac:dyDescent="0.2">
      <c r="A40">
        <v>2018</v>
      </c>
      <c r="B40" t="s">
        <v>30</v>
      </c>
      <c r="C40">
        <v>2410</v>
      </c>
    </row>
    <row r="41" spans="1:3" x14ac:dyDescent="0.2">
      <c r="A41">
        <v>2018</v>
      </c>
      <c r="B41" t="s">
        <v>28</v>
      </c>
      <c r="C41">
        <v>7964</v>
      </c>
    </row>
    <row r="42" spans="1:3" x14ac:dyDescent="0.2">
      <c r="A42">
        <v>2018</v>
      </c>
      <c r="B42" t="s">
        <v>21</v>
      </c>
      <c r="C42">
        <v>4836</v>
      </c>
    </row>
    <row r="43" spans="1:3" x14ac:dyDescent="0.2">
      <c r="A43">
        <v>2018</v>
      </c>
      <c r="B43" t="s">
        <v>22</v>
      </c>
      <c r="C43">
        <v>5319</v>
      </c>
    </row>
    <row r="44" spans="1:3" x14ac:dyDescent="0.2">
      <c r="A44">
        <v>2018</v>
      </c>
      <c r="B44" t="s">
        <v>23</v>
      </c>
      <c r="C44">
        <v>8835</v>
      </c>
    </row>
    <row r="45" spans="1:3" x14ac:dyDescent="0.2">
      <c r="A45">
        <v>2018</v>
      </c>
      <c r="B45" t="s">
        <v>24</v>
      </c>
      <c r="C45">
        <v>3391</v>
      </c>
    </row>
    <row r="46" spans="1:3" x14ac:dyDescent="0.2">
      <c r="A46">
        <v>2018</v>
      </c>
      <c r="B46" t="s">
        <v>25</v>
      </c>
      <c r="C46">
        <v>3029</v>
      </c>
    </row>
    <row r="47" spans="1:3" x14ac:dyDescent="0.2">
      <c r="A47">
        <v>2018</v>
      </c>
      <c r="B47" t="s">
        <v>26</v>
      </c>
      <c r="C47">
        <v>871</v>
      </c>
    </row>
    <row r="48" spans="1:3" x14ac:dyDescent="0.2">
      <c r="A48">
        <v>2018</v>
      </c>
      <c r="B48" t="s">
        <v>27</v>
      </c>
      <c r="C48">
        <v>651</v>
      </c>
    </row>
    <row r="49" spans="1:3" x14ac:dyDescent="0.2">
      <c r="A49">
        <v>2018</v>
      </c>
      <c r="B49" t="s">
        <v>31</v>
      </c>
      <c r="C49">
        <v>700</v>
      </c>
    </row>
    <row r="50" spans="1:3" x14ac:dyDescent="0.2">
      <c r="A50">
        <v>2019</v>
      </c>
      <c r="B50" t="s">
        <v>19</v>
      </c>
      <c r="C50">
        <v>15585</v>
      </c>
    </row>
    <row r="51" spans="1:3" x14ac:dyDescent="0.2">
      <c r="A51">
        <v>2019</v>
      </c>
      <c r="B51" t="s">
        <v>20</v>
      </c>
      <c r="C51">
        <v>8101</v>
      </c>
    </row>
    <row r="52" spans="1:3" x14ac:dyDescent="0.2">
      <c r="A52">
        <v>2019</v>
      </c>
      <c r="B52" t="s">
        <v>30</v>
      </c>
      <c r="C52">
        <v>3493</v>
      </c>
    </row>
    <row r="53" spans="1:3" x14ac:dyDescent="0.2">
      <c r="A53">
        <v>2019</v>
      </c>
      <c r="B53" t="s">
        <v>28</v>
      </c>
      <c r="C53">
        <v>8460</v>
      </c>
    </row>
    <row r="54" spans="1:3" x14ac:dyDescent="0.2">
      <c r="A54">
        <v>2019</v>
      </c>
      <c r="B54" t="s">
        <v>21</v>
      </c>
      <c r="C54">
        <v>7447</v>
      </c>
    </row>
    <row r="55" spans="1:3" x14ac:dyDescent="0.2">
      <c r="A55">
        <v>2019</v>
      </c>
      <c r="B55" t="s">
        <v>22</v>
      </c>
      <c r="C55">
        <v>7456</v>
      </c>
    </row>
    <row r="56" spans="1:3" x14ac:dyDescent="0.2">
      <c r="A56">
        <v>2019</v>
      </c>
      <c r="B56" t="s">
        <v>23</v>
      </c>
      <c r="C56">
        <v>11716</v>
      </c>
    </row>
    <row r="57" spans="1:3" x14ac:dyDescent="0.2">
      <c r="A57">
        <v>2019</v>
      </c>
      <c r="B57" t="s">
        <v>24</v>
      </c>
      <c r="C57">
        <v>4707</v>
      </c>
    </row>
    <row r="58" spans="1:3" x14ac:dyDescent="0.2">
      <c r="A58">
        <v>2019</v>
      </c>
      <c r="B58" t="s">
        <v>25</v>
      </c>
      <c r="C58">
        <v>3250</v>
      </c>
    </row>
    <row r="59" spans="1:3" x14ac:dyDescent="0.2">
      <c r="A59">
        <v>2019</v>
      </c>
      <c r="B59" t="s">
        <v>26</v>
      </c>
      <c r="C59">
        <v>1127</v>
      </c>
    </row>
    <row r="60" spans="1:3" x14ac:dyDescent="0.2">
      <c r="A60">
        <v>2019</v>
      </c>
      <c r="B60" t="s">
        <v>27</v>
      </c>
      <c r="C60">
        <v>825</v>
      </c>
    </row>
    <row r="61" spans="1:3" x14ac:dyDescent="0.2">
      <c r="A61">
        <v>2019</v>
      </c>
      <c r="B61" t="s">
        <v>31</v>
      </c>
      <c r="C61">
        <v>805</v>
      </c>
    </row>
    <row r="62" spans="1:3" x14ac:dyDescent="0.2">
      <c r="A62">
        <v>2020</v>
      </c>
      <c r="B62" t="s">
        <v>19</v>
      </c>
      <c r="C62">
        <v>38968</v>
      </c>
    </row>
    <row r="63" spans="1:3" x14ac:dyDescent="0.2">
      <c r="A63">
        <v>2020</v>
      </c>
      <c r="B63" t="s">
        <v>20</v>
      </c>
      <c r="C63">
        <v>28510</v>
      </c>
    </row>
    <row r="64" spans="1:3" x14ac:dyDescent="0.2">
      <c r="A64">
        <v>2020</v>
      </c>
      <c r="B64" t="s">
        <v>30</v>
      </c>
      <c r="C64">
        <v>14372</v>
      </c>
    </row>
    <row r="65" spans="1:3" x14ac:dyDescent="0.2">
      <c r="A65">
        <v>2020</v>
      </c>
      <c r="B65" t="s">
        <v>28</v>
      </c>
      <c r="C65">
        <v>17357</v>
      </c>
    </row>
    <row r="66" spans="1:3" x14ac:dyDescent="0.2">
      <c r="A66">
        <v>2020</v>
      </c>
      <c r="B66" t="s">
        <v>21</v>
      </c>
      <c r="C66">
        <v>16688</v>
      </c>
    </row>
    <row r="67" spans="1:3" x14ac:dyDescent="0.2">
      <c r="A67">
        <v>2020</v>
      </c>
      <c r="B67" t="s">
        <v>22</v>
      </c>
      <c r="C67">
        <v>12131</v>
      </c>
    </row>
    <row r="68" spans="1:3" x14ac:dyDescent="0.2">
      <c r="A68">
        <v>2020</v>
      </c>
      <c r="B68" t="s">
        <v>23</v>
      </c>
      <c r="C68">
        <v>18626</v>
      </c>
    </row>
    <row r="69" spans="1:3" x14ac:dyDescent="0.2">
      <c r="A69">
        <v>2020</v>
      </c>
      <c r="B69" t="s">
        <v>24</v>
      </c>
      <c r="C69">
        <v>10585</v>
      </c>
    </row>
    <row r="70" spans="1:3" x14ac:dyDescent="0.2">
      <c r="A70">
        <v>2020</v>
      </c>
      <c r="B70" t="s">
        <v>25</v>
      </c>
      <c r="C70">
        <v>6768</v>
      </c>
    </row>
    <row r="71" spans="1:3" x14ac:dyDescent="0.2">
      <c r="A71">
        <v>2020</v>
      </c>
      <c r="B71" t="s">
        <v>26</v>
      </c>
      <c r="C71">
        <v>3340</v>
      </c>
    </row>
    <row r="72" spans="1:3" x14ac:dyDescent="0.2">
      <c r="A72">
        <v>2020</v>
      </c>
      <c r="B72" t="s">
        <v>27</v>
      </c>
      <c r="C72">
        <v>1898</v>
      </c>
    </row>
    <row r="73" spans="1:3" x14ac:dyDescent="0.2">
      <c r="A73">
        <v>2020</v>
      </c>
      <c r="B73" t="s">
        <v>31</v>
      </c>
      <c r="C73">
        <v>1912</v>
      </c>
    </row>
    <row r="74" spans="1:3" x14ac:dyDescent="0.2">
      <c r="A74">
        <v>2021</v>
      </c>
      <c r="B74" t="s">
        <v>19</v>
      </c>
      <c r="C74">
        <v>62110</v>
      </c>
    </row>
    <row r="75" spans="1:3" x14ac:dyDescent="0.2">
      <c r="A75">
        <v>2021</v>
      </c>
      <c r="B75" t="s">
        <v>20</v>
      </c>
      <c r="C75">
        <v>47315</v>
      </c>
    </row>
    <row r="76" spans="1:3" x14ac:dyDescent="0.2">
      <c r="A76">
        <v>2021</v>
      </c>
      <c r="B76" t="s">
        <v>30</v>
      </c>
      <c r="C76">
        <v>38915</v>
      </c>
    </row>
    <row r="77" spans="1:3" x14ac:dyDescent="0.2">
      <c r="A77">
        <v>2021</v>
      </c>
      <c r="B77" t="s">
        <v>28</v>
      </c>
      <c r="C77">
        <v>33383</v>
      </c>
    </row>
    <row r="78" spans="1:3" x14ac:dyDescent="0.2">
      <c r="A78">
        <v>2021</v>
      </c>
      <c r="B78" t="s">
        <v>21</v>
      </c>
      <c r="C78">
        <v>26567</v>
      </c>
    </row>
    <row r="79" spans="1:3" x14ac:dyDescent="0.2">
      <c r="A79">
        <v>2021</v>
      </c>
      <c r="B79" t="s">
        <v>22</v>
      </c>
      <c r="C79">
        <v>23188</v>
      </c>
    </row>
    <row r="80" spans="1:3" x14ac:dyDescent="0.2">
      <c r="A80">
        <v>2021</v>
      </c>
      <c r="B80" t="s">
        <v>23</v>
      </c>
      <c r="C80">
        <v>23322</v>
      </c>
    </row>
    <row r="81" spans="1:3" x14ac:dyDescent="0.2">
      <c r="A81">
        <v>2021</v>
      </c>
      <c r="B81" t="s">
        <v>24</v>
      </c>
      <c r="C81">
        <v>16974</v>
      </c>
    </row>
    <row r="82" spans="1:3" x14ac:dyDescent="0.2">
      <c r="A82">
        <v>2021</v>
      </c>
      <c r="B82" t="s">
        <v>25</v>
      </c>
      <c r="C82">
        <v>13551</v>
      </c>
    </row>
    <row r="83" spans="1:3" x14ac:dyDescent="0.2">
      <c r="A83">
        <v>2021</v>
      </c>
      <c r="B83" t="s">
        <v>26</v>
      </c>
      <c r="C83">
        <v>5459</v>
      </c>
    </row>
    <row r="84" spans="1:3" x14ac:dyDescent="0.2">
      <c r="A84">
        <v>2021</v>
      </c>
      <c r="B84" t="s">
        <v>27</v>
      </c>
      <c r="C84">
        <v>4783</v>
      </c>
    </row>
    <row r="85" spans="1:3" x14ac:dyDescent="0.2">
      <c r="A85">
        <v>2021</v>
      </c>
      <c r="B85" t="s">
        <v>31</v>
      </c>
      <c r="C85">
        <v>3699</v>
      </c>
    </row>
    <row r="86" spans="1:3" x14ac:dyDescent="0.2">
      <c r="A86">
        <v>2022</v>
      </c>
      <c r="B86" t="s">
        <v>19</v>
      </c>
      <c r="C86">
        <v>79865</v>
      </c>
    </row>
    <row r="87" spans="1:3" x14ac:dyDescent="0.2">
      <c r="A87">
        <v>2022</v>
      </c>
      <c r="B87" t="s">
        <v>20</v>
      </c>
      <c r="C87">
        <v>50690</v>
      </c>
    </row>
    <row r="88" spans="1:3" x14ac:dyDescent="0.2">
      <c r="A88">
        <v>2022</v>
      </c>
      <c r="B88" t="s">
        <v>30</v>
      </c>
      <c r="C88">
        <v>56537</v>
      </c>
    </row>
    <row r="89" spans="1:3" x14ac:dyDescent="0.2">
      <c r="A89">
        <v>2022</v>
      </c>
      <c r="B89" t="s">
        <v>28</v>
      </c>
      <c r="C89">
        <v>33157</v>
      </c>
    </row>
    <row r="90" spans="1:3" x14ac:dyDescent="0.2">
      <c r="A90">
        <v>2022</v>
      </c>
      <c r="B90" t="s">
        <v>21</v>
      </c>
      <c r="C90">
        <v>31980</v>
      </c>
    </row>
    <row r="91" spans="1:3" x14ac:dyDescent="0.2">
      <c r="A91">
        <v>2022</v>
      </c>
      <c r="B91" t="s">
        <v>22</v>
      </c>
      <c r="C91">
        <v>30948</v>
      </c>
    </row>
    <row r="92" spans="1:3" x14ac:dyDescent="0.2">
      <c r="A92">
        <v>2022</v>
      </c>
      <c r="B92" t="s">
        <v>23</v>
      </c>
      <c r="C92">
        <v>23787</v>
      </c>
    </row>
    <row r="93" spans="1:3" x14ac:dyDescent="0.2">
      <c r="A93">
        <v>2022</v>
      </c>
      <c r="B93" t="s">
        <v>24</v>
      </c>
      <c r="C93">
        <v>21066</v>
      </c>
    </row>
    <row r="94" spans="1:3" x14ac:dyDescent="0.2">
      <c r="A94">
        <v>2022</v>
      </c>
      <c r="B94" t="s">
        <v>25</v>
      </c>
      <c r="C94">
        <v>16853</v>
      </c>
    </row>
    <row r="95" spans="1:3" x14ac:dyDescent="0.2">
      <c r="A95">
        <v>2022</v>
      </c>
      <c r="B95" t="s">
        <v>26</v>
      </c>
      <c r="C95">
        <v>7501</v>
      </c>
    </row>
    <row r="96" spans="1:3" x14ac:dyDescent="0.2">
      <c r="A96">
        <v>2022</v>
      </c>
      <c r="B96" t="s">
        <v>27</v>
      </c>
      <c r="C96">
        <v>5839</v>
      </c>
    </row>
    <row r="97" spans="1:3" x14ac:dyDescent="0.2">
      <c r="A97">
        <v>2022</v>
      </c>
      <c r="B97" t="s">
        <v>31</v>
      </c>
      <c r="C97">
        <v>5211</v>
      </c>
    </row>
    <row r="98" spans="1:3" x14ac:dyDescent="0.2">
      <c r="A98">
        <v>2023</v>
      </c>
      <c r="B98" t="s">
        <v>19</v>
      </c>
      <c r="C98">
        <v>115533</v>
      </c>
    </row>
    <row r="99" spans="1:3" x14ac:dyDescent="0.2">
      <c r="A99">
        <v>2023</v>
      </c>
      <c r="B99" t="s">
        <v>20</v>
      </c>
      <c r="C99">
        <v>58707</v>
      </c>
    </row>
    <row r="100" spans="1:3" x14ac:dyDescent="0.2">
      <c r="A100">
        <v>2023</v>
      </c>
      <c r="B100" t="s">
        <v>30</v>
      </c>
      <c r="C100">
        <v>69989</v>
      </c>
    </row>
    <row r="101" spans="1:3" x14ac:dyDescent="0.2">
      <c r="A101">
        <v>2023</v>
      </c>
      <c r="B101" t="s">
        <v>28</v>
      </c>
      <c r="C101">
        <v>41320</v>
      </c>
    </row>
    <row r="102" spans="1:3" x14ac:dyDescent="0.2">
      <c r="A102">
        <v>2023</v>
      </c>
      <c r="B102" t="s">
        <v>21</v>
      </c>
      <c r="C102">
        <v>36458</v>
      </c>
    </row>
    <row r="103" spans="1:3" x14ac:dyDescent="0.2">
      <c r="A103">
        <v>2023</v>
      </c>
      <c r="B103" t="s">
        <v>22</v>
      </c>
      <c r="C103">
        <v>37946</v>
      </c>
    </row>
    <row r="104" spans="1:3" x14ac:dyDescent="0.2">
      <c r="A104">
        <v>2023</v>
      </c>
      <c r="B104" t="s">
        <v>23</v>
      </c>
      <c r="C104">
        <v>23653</v>
      </c>
    </row>
    <row r="105" spans="1:3" x14ac:dyDescent="0.2">
      <c r="A105">
        <v>2023</v>
      </c>
      <c r="B105" t="s">
        <v>24</v>
      </c>
      <c r="C105">
        <v>24736</v>
      </c>
    </row>
    <row r="106" spans="1:3" x14ac:dyDescent="0.2">
      <c r="A106">
        <v>2023</v>
      </c>
      <c r="B106" t="s">
        <v>25</v>
      </c>
      <c r="C106">
        <v>23336</v>
      </c>
    </row>
    <row r="107" spans="1:3" x14ac:dyDescent="0.2">
      <c r="A107">
        <v>2023</v>
      </c>
      <c r="B107" t="s">
        <v>26</v>
      </c>
      <c r="C107">
        <v>8119</v>
      </c>
    </row>
    <row r="108" spans="1:3" x14ac:dyDescent="0.2">
      <c r="A108">
        <v>2023</v>
      </c>
      <c r="B108" t="s">
        <v>27</v>
      </c>
      <c r="C108">
        <v>6181</v>
      </c>
    </row>
    <row r="109" spans="1:3" x14ac:dyDescent="0.2">
      <c r="A109">
        <v>2023</v>
      </c>
      <c r="B109" t="s">
        <v>31</v>
      </c>
      <c r="C109">
        <v>7397</v>
      </c>
    </row>
    <row r="110" spans="1:3" x14ac:dyDescent="0.2">
      <c r="A110">
        <v>2024</v>
      </c>
      <c r="B110" t="s">
        <v>19</v>
      </c>
      <c r="C110">
        <v>140517</v>
      </c>
    </row>
    <row r="111" spans="1:3" x14ac:dyDescent="0.2">
      <c r="A111">
        <v>2024</v>
      </c>
      <c r="B111" t="s">
        <v>20</v>
      </c>
      <c r="C111">
        <v>67985</v>
      </c>
    </row>
    <row r="112" spans="1:3" x14ac:dyDescent="0.2">
      <c r="A112">
        <v>2024</v>
      </c>
      <c r="B112" t="s">
        <v>30</v>
      </c>
      <c r="C112">
        <v>74724</v>
      </c>
    </row>
    <row r="113" spans="1:3" x14ac:dyDescent="0.2">
      <c r="A113">
        <v>2024</v>
      </c>
      <c r="B113" t="s">
        <v>28</v>
      </c>
      <c r="C113">
        <v>61878</v>
      </c>
    </row>
    <row r="114" spans="1:3" x14ac:dyDescent="0.2">
      <c r="A114">
        <v>2024</v>
      </c>
      <c r="B114" t="s">
        <v>21</v>
      </c>
      <c r="C114">
        <v>45043</v>
      </c>
    </row>
    <row r="115" spans="1:3" x14ac:dyDescent="0.2">
      <c r="A115">
        <v>2024</v>
      </c>
      <c r="B115" t="s">
        <v>22</v>
      </c>
      <c r="C115">
        <v>44857</v>
      </c>
    </row>
    <row r="116" spans="1:3" x14ac:dyDescent="0.2">
      <c r="A116">
        <v>2024</v>
      </c>
      <c r="B116" t="s">
        <v>23</v>
      </c>
      <c r="C116">
        <v>26373</v>
      </c>
    </row>
    <row r="117" spans="1:3" x14ac:dyDescent="0.2">
      <c r="A117">
        <v>2024</v>
      </c>
      <c r="B117" t="s">
        <v>24</v>
      </c>
      <c r="C117">
        <v>29600</v>
      </c>
    </row>
    <row r="118" spans="1:3" x14ac:dyDescent="0.2">
      <c r="A118">
        <v>2024</v>
      </c>
      <c r="B118" t="s">
        <v>25</v>
      </c>
      <c r="C118">
        <v>27015</v>
      </c>
    </row>
    <row r="119" spans="1:3" x14ac:dyDescent="0.2">
      <c r="A119">
        <v>2024</v>
      </c>
      <c r="B119" t="s">
        <v>26</v>
      </c>
      <c r="C119">
        <v>10859</v>
      </c>
    </row>
    <row r="120" spans="1:3" x14ac:dyDescent="0.2">
      <c r="A120">
        <v>2024</v>
      </c>
      <c r="B120" t="s">
        <v>27</v>
      </c>
      <c r="C120">
        <v>9140</v>
      </c>
    </row>
    <row r="121" spans="1:3" x14ac:dyDescent="0.2">
      <c r="A121">
        <v>2024</v>
      </c>
      <c r="B121" t="s">
        <v>31</v>
      </c>
      <c r="C121">
        <v>9667</v>
      </c>
    </row>
    <row r="122" spans="1:3" x14ac:dyDescent="0.2">
      <c r="A122">
        <v>2025</v>
      </c>
      <c r="B122" t="s">
        <v>19</v>
      </c>
      <c r="C122">
        <v>154533</v>
      </c>
    </row>
    <row r="123" spans="1:3" x14ac:dyDescent="0.2">
      <c r="A123">
        <v>2025</v>
      </c>
      <c r="B123" t="s">
        <v>20</v>
      </c>
      <c r="C123">
        <v>56435</v>
      </c>
    </row>
    <row r="124" spans="1:3" x14ac:dyDescent="0.2">
      <c r="A124">
        <v>2025</v>
      </c>
      <c r="B124" t="s">
        <v>30</v>
      </c>
      <c r="C124">
        <v>66552</v>
      </c>
    </row>
    <row r="125" spans="1:3" x14ac:dyDescent="0.2">
      <c r="A125">
        <v>2025</v>
      </c>
      <c r="B125" t="s">
        <v>28</v>
      </c>
      <c r="C125">
        <v>53507</v>
      </c>
    </row>
    <row r="126" spans="1:3" x14ac:dyDescent="0.2">
      <c r="A126">
        <v>2025</v>
      </c>
      <c r="B126" t="s">
        <v>21</v>
      </c>
      <c r="C126">
        <v>40605</v>
      </c>
    </row>
    <row r="127" spans="1:3" x14ac:dyDescent="0.2">
      <c r="A127">
        <v>2025</v>
      </c>
      <c r="B127" t="s">
        <v>22</v>
      </c>
      <c r="C127">
        <v>37939</v>
      </c>
    </row>
    <row r="128" spans="1:3" x14ac:dyDescent="0.2">
      <c r="A128">
        <v>2025</v>
      </c>
      <c r="B128" t="s">
        <v>23</v>
      </c>
      <c r="C128">
        <v>24789</v>
      </c>
    </row>
    <row r="129" spans="1:3" x14ac:dyDescent="0.2">
      <c r="A129">
        <v>2025</v>
      </c>
      <c r="B129" t="s">
        <v>24</v>
      </c>
      <c r="C129">
        <v>30163</v>
      </c>
    </row>
    <row r="130" spans="1:3" x14ac:dyDescent="0.2">
      <c r="A130">
        <v>2025</v>
      </c>
      <c r="B130" t="s">
        <v>25</v>
      </c>
      <c r="C130">
        <v>27637</v>
      </c>
    </row>
    <row r="131" spans="1:3" x14ac:dyDescent="0.2">
      <c r="A131">
        <v>2025</v>
      </c>
      <c r="B131" t="s">
        <v>26</v>
      </c>
      <c r="C131">
        <v>10864</v>
      </c>
    </row>
    <row r="132" spans="1:3" x14ac:dyDescent="0.2">
      <c r="A132">
        <v>2025</v>
      </c>
      <c r="B132" t="s">
        <v>27</v>
      </c>
      <c r="C132">
        <v>8657</v>
      </c>
    </row>
    <row r="133" spans="1:3" x14ac:dyDescent="0.2">
      <c r="A133">
        <v>2025</v>
      </c>
      <c r="B133" t="s">
        <v>31</v>
      </c>
      <c r="C133">
        <v>8980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EF7D-43B6-824E-B08D-59379BA67882}">
  <sheetPr codeName="Sheet3"/>
  <dimension ref="A1:G133"/>
  <sheetViews>
    <sheetView workbookViewId="0">
      <selection activeCell="I11" sqref="E1:I11"/>
    </sheetView>
  </sheetViews>
  <sheetFormatPr baseColWidth="10" defaultRowHeight="16" x14ac:dyDescent="0.2"/>
  <cols>
    <col min="1" max="1" width="7.33203125" bestFit="1" customWidth="1"/>
    <col min="2" max="2" width="22.33203125" bestFit="1" customWidth="1"/>
    <col min="3" max="3" width="13.33203125" bestFit="1" customWidth="1"/>
    <col min="4" max="4" width="18.83203125" style="3" bestFit="1" customWidth="1"/>
    <col min="5" max="5" width="10.83203125" style="4"/>
  </cols>
  <sheetData>
    <row r="1" spans="1:7" x14ac:dyDescent="0.2">
      <c r="A1" t="s">
        <v>32</v>
      </c>
      <c r="B1" t="s">
        <v>16</v>
      </c>
      <c r="C1" t="s">
        <v>33</v>
      </c>
      <c r="D1" s="3" t="s">
        <v>35</v>
      </c>
      <c r="E1" s="4" t="s">
        <v>36</v>
      </c>
      <c r="F1" t="s">
        <v>37</v>
      </c>
      <c r="G1" t="s">
        <v>38</v>
      </c>
    </row>
    <row r="2" spans="1:7" x14ac:dyDescent="0.2">
      <c r="A2">
        <v>2015</v>
      </c>
      <c r="B2" t="s">
        <v>19</v>
      </c>
      <c r="C2">
        <v>5555</v>
      </c>
      <c r="D2" s="3">
        <v>19740.141</v>
      </c>
      <c r="G2" s="3"/>
    </row>
    <row r="3" spans="1:7" x14ac:dyDescent="0.2">
      <c r="A3">
        <v>2015</v>
      </c>
      <c r="B3" t="s">
        <v>24</v>
      </c>
      <c r="C3">
        <v>1324</v>
      </c>
      <c r="D3" s="3">
        <v>9543.8630000000012</v>
      </c>
      <c r="G3" s="3"/>
    </row>
    <row r="4" spans="1:7" x14ac:dyDescent="0.2">
      <c r="A4">
        <v>2015</v>
      </c>
      <c r="B4" t="s">
        <v>20</v>
      </c>
      <c r="C4">
        <v>4454</v>
      </c>
      <c r="D4" s="3">
        <v>11965.033000000001</v>
      </c>
      <c r="G4" s="3"/>
    </row>
    <row r="5" spans="1:7" x14ac:dyDescent="0.2">
      <c r="A5">
        <v>2015</v>
      </c>
      <c r="B5" t="s">
        <v>26</v>
      </c>
      <c r="C5">
        <v>620</v>
      </c>
      <c r="D5" s="3">
        <v>5973.393</v>
      </c>
      <c r="G5" s="3"/>
    </row>
    <row r="6" spans="1:7" x14ac:dyDescent="0.2">
      <c r="A6">
        <v>2015</v>
      </c>
      <c r="B6" t="s">
        <v>30</v>
      </c>
      <c r="C6">
        <v>1879</v>
      </c>
      <c r="D6" s="3">
        <v>12492.506000000001</v>
      </c>
      <c r="G6" s="3"/>
    </row>
    <row r="7" spans="1:7" x14ac:dyDescent="0.2">
      <c r="A7">
        <v>2015</v>
      </c>
      <c r="B7" t="s">
        <v>28</v>
      </c>
      <c r="C7">
        <v>4100</v>
      </c>
      <c r="D7" s="3">
        <v>102096.68799999999</v>
      </c>
      <c r="G7" s="3"/>
    </row>
    <row r="8" spans="1:7" x14ac:dyDescent="0.2">
      <c r="A8">
        <v>2015</v>
      </c>
      <c r="B8" t="s">
        <v>21</v>
      </c>
      <c r="C8">
        <v>1945</v>
      </c>
      <c r="D8" s="3">
        <v>9323.8830000000016</v>
      </c>
      <c r="G8" s="3"/>
    </row>
    <row r="9" spans="1:7" x14ac:dyDescent="0.2">
      <c r="A9">
        <v>2015</v>
      </c>
      <c r="B9" t="s">
        <v>22</v>
      </c>
      <c r="C9">
        <v>2334</v>
      </c>
      <c r="D9" s="3">
        <v>10468.506000000001</v>
      </c>
      <c r="G9" s="3"/>
    </row>
    <row r="10" spans="1:7" x14ac:dyDescent="0.2">
      <c r="A10">
        <v>2015</v>
      </c>
      <c r="B10" t="s">
        <v>23</v>
      </c>
      <c r="C10">
        <v>3798</v>
      </c>
      <c r="D10" s="3">
        <v>11645.216</v>
      </c>
      <c r="G10" s="3"/>
    </row>
    <row r="11" spans="1:7" x14ac:dyDescent="0.2">
      <c r="A11">
        <v>2015</v>
      </c>
      <c r="B11" t="s">
        <v>31</v>
      </c>
      <c r="C11">
        <v>431</v>
      </c>
      <c r="D11" s="3">
        <v>3642.9</v>
      </c>
      <c r="G11" s="3"/>
    </row>
    <row r="12" spans="1:7" x14ac:dyDescent="0.2">
      <c r="A12">
        <v>2015</v>
      </c>
      <c r="B12" t="s">
        <v>25</v>
      </c>
      <c r="C12">
        <v>1442</v>
      </c>
      <c r="D12" s="3">
        <v>9212.7479999999996</v>
      </c>
      <c r="G12" s="3"/>
    </row>
    <row r="13" spans="1:7" x14ac:dyDescent="0.2">
      <c r="A13">
        <v>2015</v>
      </c>
      <c r="B13" t="s">
        <v>27</v>
      </c>
      <c r="C13">
        <v>846</v>
      </c>
      <c r="D13" s="3">
        <v>4333.01</v>
      </c>
      <c r="G13" s="3"/>
    </row>
    <row r="14" spans="1:7" x14ac:dyDescent="0.2">
      <c r="A14">
        <v>2016</v>
      </c>
      <c r="B14" t="s">
        <v>19</v>
      </c>
      <c r="C14">
        <v>8610</v>
      </c>
      <c r="D14" s="3">
        <v>20270.462</v>
      </c>
      <c r="G14" s="3"/>
    </row>
    <row r="15" spans="1:7" x14ac:dyDescent="0.2">
      <c r="A15">
        <v>2016</v>
      </c>
      <c r="B15" t="s">
        <v>24</v>
      </c>
      <c r="C15">
        <v>1439</v>
      </c>
      <c r="D15" s="3">
        <v>9685.8140000000003</v>
      </c>
      <c r="G15" s="3"/>
    </row>
    <row r="16" spans="1:7" x14ac:dyDescent="0.2">
      <c r="A16">
        <v>2016</v>
      </c>
      <c r="B16" t="s">
        <v>20</v>
      </c>
      <c r="C16">
        <v>4299</v>
      </c>
      <c r="D16" s="3">
        <v>12260.497000000001</v>
      </c>
      <c r="G16" s="3"/>
    </row>
    <row r="17" spans="1:7" x14ac:dyDescent="0.2">
      <c r="A17">
        <v>2016</v>
      </c>
      <c r="B17" t="s">
        <v>26</v>
      </c>
      <c r="C17">
        <v>612</v>
      </c>
      <c r="D17" s="3">
        <v>6073.5929999999998</v>
      </c>
      <c r="G17" s="3"/>
    </row>
    <row r="18" spans="1:7" x14ac:dyDescent="0.2">
      <c r="A18">
        <v>2016</v>
      </c>
      <c r="B18" t="s">
        <v>30</v>
      </c>
      <c r="C18">
        <v>1978</v>
      </c>
      <c r="D18" s="3">
        <v>12653.334000000001</v>
      </c>
      <c r="G18" s="3"/>
    </row>
    <row r="19" spans="1:7" x14ac:dyDescent="0.2">
      <c r="A19">
        <v>2016</v>
      </c>
      <c r="B19" t="s">
        <v>28</v>
      </c>
      <c r="C19">
        <v>6844</v>
      </c>
      <c r="D19" s="3">
        <v>104398.34699999999</v>
      </c>
      <c r="G19" s="3"/>
    </row>
    <row r="20" spans="1:7" x14ac:dyDescent="0.2">
      <c r="A20">
        <v>2016</v>
      </c>
      <c r="B20" t="s">
        <v>21</v>
      </c>
      <c r="C20">
        <v>3127</v>
      </c>
      <c r="D20" s="3">
        <v>9569.2710000000006</v>
      </c>
      <c r="G20" s="3"/>
    </row>
    <row r="21" spans="1:7" x14ac:dyDescent="0.2">
      <c r="A21">
        <v>2016</v>
      </c>
      <c r="B21" t="s">
        <v>22</v>
      </c>
      <c r="C21">
        <v>4138</v>
      </c>
      <c r="D21" s="3">
        <v>10633.381000000001</v>
      </c>
      <c r="G21" s="3"/>
    </row>
    <row r="22" spans="1:7" x14ac:dyDescent="0.2">
      <c r="A22">
        <v>2016</v>
      </c>
      <c r="B22" t="s">
        <v>23</v>
      </c>
      <c r="C22">
        <v>6026</v>
      </c>
      <c r="D22" s="3">
        <v>11960.869000000001</v>
      </c>
      <c r="G22" s="3"/>
    </row>
    <row r="23" spans="1:7" x14ac:dyDescent="0.2">
      <c r="A23">
        <v>2016</v>
      </c>
      <c r="B23" t="s">
        <v>31</v>
      </c>
      <c r="C23">
        <v>452</v>
      </c>
      <c r="D23" s="3">
        <v>3737.5</v>
      </c>
      <c r="G23" s="3"/>
    </row>
    <row r="24" spans="1:7" x14ac:dyDescent="0.2">
      <c r="A24">
        <v>2016</v>
      </c>
      <c r="B24" t="s">
        <v>25</v>
      </c>
      <c r="C24">
        <v>2134</v>
      </c>
      <c r="D24" s="3">
        <v>9383.4669999999987</v>
      </c>
      <c r="G24" s="3"/>
    </row>
    <row r="25" spans="1:7" x14ac:dyDescent="0.2">
      <c r="A25">
        <v>2016</v>
      </c>
      <c r="B25" t="s">
        <v>27</v>
      </c>
      <c r="C25">
        <v>668</v>
      </c>
      <c r="D25" s="3">
        <v>4404.5570000000007</v>
      </c>
      <c r="G25" s="3"/>
    </row>
    <row r="26" spans="1:7" x14ac:dyDescent="0.2">
      <c r="A26">
        <v>2017</v>
      </c>
      <c r="B26" t="s">
        <v>19</v>
      </c>
      <c r="C26">
        <v>10009</v>
      </c>
      <c r="D26" s="3">
        <v>20621.220999999998</v>
      </c>
      <c r="G26" s="3"/>
    </row>
    <row r="27" spans="1:7" x14ac:dyDescent="0.2">
      <c r="A27">
        <v>2017</v>
      </c>
      <c r="B27" t="s">
        <v>24</v>
      </c>
      <c r="C27">
        <v>2437</v>
      </c>
      <c r="D27" s="3">
        <v>9846.4930000000004</v>
      </c>
      <c r="G27" s="3"/>
    </row>
    <row r="28" spans="1:7" x14ac:dyDescent="0.2">
      <c r="A28">
        <v>2017</v>
      </c>
      <c r="B28" t="s">
        <v>20</v>
      </c>
      <c r="C28">
        <v>6116</v>
      </c>
      <c r="D28" s="3">
        <v>12605.789999999999</v>
      </c>
      <c r="G28" s="3"/>
    </row>
    <row r="29" spans="1:7" x14ac:dyDescent="0.2">
      <c r="A29">
        <v>2017</v>
      </c>
      <c r="B29" t="s">
        <v>26</v>
      </c>
      <c r="C29">
        <v>827</v>
      </c>
      <c r="D29" s="3">
        <v>6162.5610000000006</v>
      </c>
      <c r="G29" s="3"/>
    </row>
    <row r="30" spans="1:7" x14ac:dyDescent="0.2">
      <c r="A30">
        <v>2017</v>
      </c>
      <c r="B30" t="s">
        <v>30</v>
      </c>
      <c r="C30">
        <v>2613</v>
      </c>
      <c r="D30" s="3">
        <v>12829.181</v>
      </c>
      <c r="G30" s="3"/>
    </row>
    <row r="31" spans="1:7" x14ac:dyDescent="0.2">
      <c r="A31">
        <v>2017</v>
      </c>
      <c r="B31" t="s">
        <v>28</v>
      </c>
      <c r="C31">
        <v>7419</v>
      </c>
      <c r="D31" s="3">
        <v>106316.75700000001</v>
      </c>
      <c r="G31" s="3"/>
    </row>
    <row r="32" spans="1:7" x14ac:dyDescent="0.2">
      <c r="A32">
        <v>2017</v>
      </c>
      <c r="B32" t="s">
        <v>21</v>
      </c>
      <c r="C32">
        <v>4039</v>
      </c>
      <c r="D32" s="3">
        <v>9778.7079999999987</v>
      </c>
      <c r="G32" s="3"/>
    </row>
    <row r="33" spans="1:7" x14ac:dyDescent="0.2">
      <c r="A33">
        <v>2017</v>
      </c>
      <c r="B33" t="s">
        <v>22</v>
      </c>
      <c r="C33">
        <v>6452</v>
      </c>
      <c r="D33" s="3">
        <v>10707.989000000001</v>
      </c>
      <c r="G33" s="3"/>
    </row>
    <row r="34" spans="1:7" x14ac:dyDescent="0.2">
      <c r="A34">
        <v>2017</v>
      </c>
      <c r="B34" t="s">
        <v>23</v>
      </c>
      <c r="C34">
        <v>7376</v>
      </c>
      <c r="D34" s="3">
        <v>12249.707999999999</v>
      </c>
      <c r="G34" s="3"/>
    </row>
    <row r="35" spans="1:7" x14ac:dyDescent="0.2">
      <c r="A35">
        <v>2017</v>
      </c>
      <c r="B35" t="s">
        <v>31</v>
      </c>
      <c r="C35">
        <v>616</v>
      </c>
      <c r="D35" s="3">
        <v>3831.6</v>
      </c>
      <c r="G35" s="3"/>
    </row>
    <row r="36" spans="1:7" x14ac:dyDescent="0.2">
      <c r="A36">
        <v>2017</v>
      </c>
      <c r="B36" t="s">
        <v>25</v>
      </c>
      <c r="C36">
        <v>2736</v>
      </c>
      <c r="D36" s="3">
        <v>9571.7189999999991</v>
      </c>
      <c r="G36" s="3"/>
    </row>
    <row r="37" spans="1:7" x14ac:dyDescent="0.2">
      <c r="A37">
        <v>2017</v>
      </c>
      <c r="B37" t="s">
        <v>27</v>
      </c>
      <c r="C37">
        <v>797</v>
      </c>
      <c r="D37" s="3">
        <v>4473.6689999999999</v>
      </c>
      <c r="G37" s="3"/>
    </row>
    <row r="38" spans="1:7" x14ac:dyDescent="0.2">
      <c r="A38">
        <v>2018</v>
      </c>
      <c r="B38" t="s">
        <v>19</v>
      </c>
      <c r="C38">
        <v>14013</v>
      </c>
      <c r="D38" s="3">
        <v>20831.826000000001</v>
      </c>
      <c r="G38" s="3"/>
    </row>
    <row r="39" spans="1:7" x14ac:dyDescent="0.2">
      <c r="A39">
        <v>2018</v>
      </c>
      <c r="B39" t="s">
        <v>24</v>
      </c>
      <c r="C39">
        <v>3391</v>
      </c>
      <c r="D39" s="3">
        <v>9929.7279999999992</v>
      </c>
      <c r="G39" s="3"/>
    </row>
    <row r="40" spans="1:7" x14ac:dyDescent="0.2">
      <c r="A40">
        <v>2018</v>
      </c>
      <c r="B40" t="s">
        <v>20</v>
      </c>
      <c r="C40">
        <v>8287</v>
      </c>
      <c r="D40" s="3">
        <v>12786.099999999999</v>
      </c>
      <c r="G40" s="3"/>
    </row>
    <row r="41" spans="1:7" x14ac:dyDescent="0.2">
      <c r="A41">
        <v>2018</v>
      </c>
      <c r="B41" t="s">
        <v>26</v>
      </c>
      <c r="C41">
        <v>871</v>
      </c>
      <c r="D41" s="3">
        <v>6222.41</v>
      </c>
      <c r="G41" s="3"/>
    </row>
    <row r="42" spans="1:7" x14ac:dyDescent="0.2">
      <c r="A42">
        <v>2018</v>
      </c>
      <c r="B42" t="s">
        <v>30</v>
      </c>
      <c r="C42">
        <v>2410</v>
      </c>
      <c r="D42" s="3">
        <v>12991.344999999999</v>
      </c>
      <c r="G42" s="3"/>
    </row>
    <row r="43" spans="1:7" x14ac:dyDescent="0.2">
      <c r="A43">
        <v>2018</v>
      </c>
      <c r="B43" t="s">
        <v>28</v>
      </c>
      <c r="C43">
        <v>7964</v>
      </c>
      <c r="D43" s="3">
        <v>107242.702</v>
      </c>
      <c r="G43" s="3"/>
    </row>
    <row r="44" spans="1:7" x14ac:dyDescent="0.2">
      <c r="A44">
        <v>2018</v>
      </c>
      <c r="B44" t="s">
        <v>21</v>
      </c>
      <c r="C44">
        <v>4836</v>
      </c>
      <c r="D44" s="3">
        <v>9941.610999999999</v>
      </c>
      <c r="G44" s="3"/>
    </row>
    <row r="45" spans="1:7" x14ac:dyDescent="0.2">
      <c r="A45">
        <v>2018</v>
      </c>
      <c r="B45" t="s">
        <v>22</v>
      </c>
      <c r="C45">
        <v>5319</v>
      </c>
      <c r="D45" s="3">
        <v>10680.084000000001</v>
      </c>
      <c r="G45" s="3"/>
    </row>
    <row r="46" spans="1:7" x14ac:dyDescent="0.2">
      <c r="A46">
        <v>2018</v>
      </c>
      <c r="B46" t="s">
        <v>23</v>
      </c>
      <c r="C46">
        <v>8835</v>
      </c>
      <c r="D46" s="3">
        <v>12333.814</v>
      </c>
      <c r="G46" s="3"/>
    </row>
    <row r="47" spans="1:7" x14ac:dyDescent="0.2">
      <c r="A47">
        <v>2018</v>
      </c>
      <c r="B47" t="s">
        <v>31</v>
      </c>
      <c r="C47">
        <v>700</v>
      </c>
      <c r="D47" s="3">
        <v>3891.4</v>
      </c>
      <c r="G47" s="3"/>
    </row>
    <row r="48" spans="1:7" x14ac:dyDescent="0.2">
      <c r="A48">
        <v>2018</v>
      </c>
      <c r="B48" t="s">
        <v>25</v>
      </c>
      <c r="C48">
        <v>3029</v>
      </c>
      <c r="D48" s="3">
        <v>9674.3109999999997</v>
      </c>
      <c r="G48" s="3"/>
    </row>
    <row r="49" spans="1:7" x14ac:dyDescent="0.2">
      <c r="A49">
        <v>2018</v>
      </c>
      <c r="B49" t="s">
        <v>27</v>
      </c>
      <c r="C49">
        <v>651</v>
      </c>
      <c r="D49" s="3">
        <v>4517.4440000000004</v>
      </c>
      <c r="G49" s="3"/>
    </row>
    <row r="50" spans="1:7" x14ac:dyDescent="0.2">
      <c r="A50">
        <v>2019</v>
      </c>
      <c r="B50" t="s">
        <v>19</v>
      </c>
      <c r="C50">
        <v>15585</v>
      </c>
      <c r="D50" s="3">
        <v>21017.423999999999</v>
      </c>
      <c r="G50" s="3"/>
    </row>
    <row r="51" spans="1:7" x14ac:dyDescent="0.2">
      <c r="A51">
        <v>2019</v>
      </c>
      <c r="B51" t="s">
        <v>24</v>
      </c>
      <c r="C51">
        <v>4707</v>
      </c>
      <c r="D51" s="3">
        <v>10071.392</v>
      </c>
      <c r="G51" s="3"/>
    </row>
    <row r="52" spans="1:7" x14ac:dyDescent="0.2">
      <c r="A52">
        <v>2019</v>
      </c>
      <c r="B52" t="s">
        <v>20</v>
      </c>
      <c r="C52">
        <v>8101</v>
      </c>
      <c r="D52" s="3">
        <v>13105.45</v>
      </c>
      <c r="G52" s="3"/>
    </row>
    <row r="53" spans="1:7" x14ac:dyDescent="0.2">
      <c r="A53">
        <v>2019</v>
      </c>
      <c r="B53" t="s">
        <v>26</v>
      </c>
      <c r="C53">
        <v>1127</v>
      </c>
      <c r="D53" s="3">
        <v>6311.5860000000002</v>
      </c>
      <c r="G53" s="3"/>
    </row>
    <row r="54" spans="1:7" x14ac:dyDescent="0.2">
      <c r="A54">
        <v>2019</v>
      </c>
      <c r="B54" t="s">
        <v>30</v>
      </c>
      <c r="C54">
        <v>3493</v>
      </c>
      <c r="D54" s="3">
        <v>13224.905000000001</v>
      </c>
      <c r="G54" s="3"/>
    </row>
    <row r="55" spans="1:7" x14ac:dyDescent="0.2">
      <c r="A55">
        <v>2019</v>
      </c>
      <c r="B55" t="s">
        <v>28</v>
      </c>
      <c r="C55">
        <v>8460</v>
      </c>
      <c r="D55" s="3">
        <v>108491.162</v>
      </c>
      <c r="G55" s="3"/>
    </row>
    <row r="56" spans="1:7" x14ac:dyDescent="0.2">
      <c r="A56">
        <v>2019</v>
      </c>
      <c r="B56" t="s">
        <v>21</v>
      </c>
      <c r="C56">
        <v>7447</v>
      </c>
      <c r="D56" s="3">
        <v>10153.206</v>
      </c>
      <c r="G56" s="3"/>
    </row>
    <row r="57" spans="1:7" x14ac:dyDescent="0.2">
      <c r="A57">
        <v>2019</v>
      </c>
      <c r="B57" t="s">
        <v>22</v>
      </c>
      <c r="C57">
        <v>7456</v>
      </c>
      <c r="D57" s="3">
        <v>10675.575999999999</v>
      </c>
      <c r="G57" s="3"/>
    </row>
    <row r="58" spans="1:7" x14ac:dyDescent="0.2">
      <c r="A58">
        <v>2019</v>
      </c>
      <c r="B58" t="s">
        <v>23</v>
      </c>
      <c r="C58">
        <v>11716</v>
      </c>
      <c r="D58" s="3">
        <v>12298.439999999999</v>
      </c>
      <c r="G58" s="3"/>
    </row>
    <row r="59" spans="1:7" x14ac:dyDescent="0.2">
      <c r="A59">
        <v>2019</v>
      </c>
      <c r="B59" t="s">
        <v>31</v>
      </c>
      <c r="C59">
        <v>805</v>
      </c>
      <c r="D59" s="3">
        <v>3966.5</v>
      </c>
      <c r="G59" s="3"/>
    </row>
    <row r="60" spans="1:7" x14ac:dyDescent="0.2">
      <c r="A60">
        <v>2019</v>
      </c>
      <c r="B60" t="s">
        <v>25</v>
      </c>
      <c r="C60">
        <v>3250</v>
      </c>
      <c r="D60" s="3">
        <v>9832.5310000000009</v>
      </c>
      <c r="G60" s="3"/>
    </row>
    <row r="61" spans="1:7" x14ac:dyDescent="0.2">
      <c r="A61">
        <v>2019</v>
      </c>
      <c r="B61" t="s">
        <v>27</v>
      </c>
      <c r="C61">
        <v>825</v>
      </c>
      <c r="D61" s="3">
        <v>4594.4269999999997</v>
      </c>
      <c r="G61" s="3"/>
    </row>
    <row r="62" spans="1:7" x14ac:dyDescent="0.2">
      <c r="A62">
        <v>2020</v>
      </c>
      <c r="B62" t="s">
        <v>19</v>
      </c>
      <c r="C62">
        <v>38968</v>
      </c>
      <c r="D62" s="3">
        <v>20846.218000000001</v>
      </c>
      <c r="G62" s="3"/>
    </row>
    <row r="63" spans="1:7" x14ac:dyDescent="0.2">
      <c r="A63">
        <v>2020</v>
      </c>
      <c r="B63" t="s">
        <v>24</v>
      </c>
      <c r="C63">
        <v>10585</v>
      </c>
      <c r="D63" s="3">
        <v>10078.609</v>
      </c>
      <c r="G63" s="3"/>
    </row>
    <row r="64" spans="1:7" x14ac:dyDescent="0.2">
      <c r="A64">
        <v>2020</v>
      </c>
      <c r="B64" t="s">
        <v>20</v>
      </c>
      <c r="C64">
        <v>28510</v>
      </c>
      <c r="D64" s="3">
        <v>13071.927</v>
      </c>
      <c r="G64" s="3"/>
    </row>
    <row r="65" spans="1:7" x14ac:dyDescent="0.2">
      <c r="A65">
        <v>2020</v>
      </c>
      <c r="B65" t="s">
        <v>26</v>
      </c>
      <c r="C65">
        <v>3340</v>
      </c>
      <c r="D65" s="3">
        <v>6314.2719999999999</v>
      </c>
      <c r="G65" s="3"/>
    </row>
    <row r="66" spans="1:7" x14ac:dyDescent="0.2">
      <c r="A66">
        <v>2020</v>
      </c>
      <c r="B66" t="s">
        <v>30</v>
      </c>
      <c r="C66">
        <v>14372</v>
      </c>
      <c r="D66" s="3">
        <v>13691.101999999999</v>
      </c>
      <c r="G66" s="3"/>
    </row>
    <row r="67" spans="1:7" x14ac:dyDescent="0.2">
      <c r="A67">
        <v>2020</v>
      </c>
      <c r="B67" t="s">
        <v>28</v>
      </c>
      <c r="C67">
        <v>17357</v>
      </c>
      <c r="D67" s="3">
        <v>108296.64199999999</v>
      </c>
      <c r="G67" s="3"/>
    </row>
    <row r="68" spans="1:7" x14ac:dyDescent="0.2">
      <c r="A68">
        <v>2020</v>
      </c>
      <c r="B68" t="s">
        <v>21</v>
      </c>
      <c r="C68">
        <v>16688</v>
      </c>
      <c r="D68" s="3">
        <v>10196.695</v>
      </c>
      <c r="G68" s="3"/>
    </row>
    <row r="69" spans="1:7" x14ac:dyDescent="0.2">
      <c r="A69">
        <v>2020</v>
      </c>
      <c r="B69" t="s">
        <v>22</v>
      </c>
      <c r="C69">
        <v>12131</v>
      </c>
      <c r="D69" s="3">
        <v>10593.224</v>
      </c>
      <c r="G69" s="3"/>
    </row>
    <row r="70" spans="1:7" x14ac:dyDescent="0.2">
      <c r="A70">
        <v>2020</v>
      </c>
      <c r="B70" t="s">
        <v>23</v>
      </c>
      <c r="C70">
        <v>18626</v>
      </c>
      <c r="D70" s="3">
        <v>11875.025000000001</v>
      </c>
      <c r="G70" s="3"/>
    </row>
    <row r="71" spans="1:7" x14ac:dyDescent="0.2">
      <c r="A71">
        <v>2020</v>
      </c>
      <c r="B71" t="s">
        <v>31</v>
      </c>
      <c r="C71">
        <v>1912</v>
      </c>
      <c r="D71" s="3">
        <v>3983.7</v>
      </c>
      <c r="G71" s="3"/>
    </row>
    <row r="72" spans="1:7" x14ac:dyDescent="0.2">
      <c r="A72">
        <v>2020</v>
      </c>
      <c r="B72" t="s">
        <v>25</v>
      </c>
      <c r="C72">
        <v>6768</v>
      </c>
      <c r="D72" s="3">
        <v>9798.4979999999996</v>
      </c>
      <c r="G72" s="3"/>
    </row>
    <row r="73" spans="1:7" x14ac:dyDescent="0.2">
      <c r="A73">
        <v>2020</v>
      </c>
      <c r="B73" t="s">
        <v>27</v>
      </c>
      <c r="C73">
        <v>1898</v>
      </c>
      <c r="D73" s="3">
        <v>4629.3130000000001</v>
      </c>
      <c r="G73" s="3"/>
    </row>
    <row r="74" spans="1:7" x14ac:dyDescent="0.2">
      <c r="A74">
        <v>2021</v>
      </c>
      <c r="B74" t="s">
        <v>19</v>
      </c>
      <c r="C74">
        <v>62110</v>
      </c>
      <c r="D74" s="3">
        <v>20895.302</v>
      </c>
      <c r="G74" s="3"/>
    </row>
    <row r="75" spans="1:7" x14ac:dyDescent="0.2">
      <c r="A75">
        <v>2021</v>
      </c>
      <c r="B75" t="s">
        <v>24</v>
      </c>
      <c r="C75">
        <v>16974</v>
      </c>
      <c r="D75" s="3">
        <v>10106.632000000001</v>
      </c>
      <c r="G75" s="3"/>
    </row>
    <row r="76" spans="1:7" x14ac:dyDescent="0.2">
      <c r="A76">
        <v>2021</v>
      </c>
      <c r="B76" t="s">
        <v>20</v>
      </c>
      <c r="C76">
        <v>47315</v>
      </c>
      <c r="D76" s="3">
        <v>13091.657000000001</v>
      </c>
      <c r="G76" s="3"/>
    </row>
    <row r="77" spans="1:7" x14ac:dyDescent="0.2">
      <c r="A77">
        <v>2021</v>
      </c>
      <c r="B77" t="s">
        <v>26</v>
      </c>
      <c r="C77">
        <v>5459</v>
      </c>
      <c r="D77" s="3">
        <v>6352.1059999999998</v>
      </c>
      <c r="G77" s="3"/>
    </row>
    <row r="78" spans="1:7" x14ac:dyDescent="0.2">
      <c r="A78">
        <v>2021</v>
      </c>
      <c r="B78" t="s">
        <v>30</v>
      </c>
      <c r="C78">
        <v>38915</v>
      </c>
      <c r="D78" s="3">
        <v>14109.633000000002</v>
      </c>
      <c r="G78" s="3"/>
    </row>
    <row r="79" spans="1:7" x14ac:dyDescent="0.2">
      <c r="A79">
        <v>2021</v>
      </c>
      <c r="B79" t="s">
        <v>28</v>
      </c>
      <c r="C79">
        <v>33383</v>
      </c>
      <c r="D79" s="3">
        <v>108549.269</v>
      </c>
      <c r="G79" s="3"/>
    </row>
    <row r="80" spans="1:7" x14ac:dyDescent="0.2">
      <c r="A80">
        <v>2021</v>
      </c>
      <c r="B80" t="s">
        <v>21</v>
      </c>
      <c r="C80">
        <v>26567</v>
      </c>
      <c r="D80" s="3">
        <v>10269.182999999999</v>
      </c>
      <c r="G80" s="3"/>
    </row>
    <row r="81" spans="1:7" x14ac:dyDescent="0.2">
      <c r="A81">
        <v>2021</v>
      </c>
      <c r="B81" t="s">
        <v>22</v>
      </c>
      <c r="C81">
        <v>23188</v>
      </c>
      <c r="D81" s="3">
        <v>10509.793</v>
      </c>
      <c r="G81" s="3"/>
    </row>
    <row r="82" spans="1:7" x14ac:dyDescent="0.2">
      <c r="A82">
        <v>2021</v>
      </c>
      <c r="B82" t="s">
        <v>23</v>
      </c>
      <c r="C82">
        <v>23322</v>
      </c>
      <c r="D82" s="3">
        <v>11499.862999999999</v>
      </c>
      <c r="G82" s="3"/>
    </row>
    <row r="83" spans="1:7" x14ac:dyDescent="0.2">
      <c r="A83">
        <v>2021</v>
      </c>
      <c r="B83" t="s">
        <v>31</v>
      </c>
      <c r="C83">
        <v>3699</v>
      </c>
      <c r="D83" s="3">
        <v>4050.3</v>
      </c>
      <c r="G83" s="3"/>
    </row>
    <row r="84" spans="1:7" x14ac:dyDescent="0.2">
      <c r="A84">
        <v>2021</v>
      </c>
      <c r="B84" t="s">
        <v>25</v>
      </c>
      <c r="C84">
        <v>13551</v>
      </c>
      <c r="D84" s="3">
        <v>9877.9959999999992</v>
      </c>
      <c r="G84" s="3"/>
    </row>
    <row r="85" spans="1:7" x14ac:dyDescent="0.2">
      <c r="A85">
        <v>2021</v>
      </c>
      <c r="B85" t="s">
        <v>27</v>
      </c>
      <c r="C85">
        <v>4783</v>
      </c>
      <c r="D85" s="3">
        <v>4669.9290000000001</v>
      </c>
      <c r="G85" s="3"/>
    </row>
    <row r="86" spans="1:7" x14ac:dyDescent="0.2">
      <c r="A86">
        <v>2022</v>
      </c>
      <c r="B86" t="s">
        <v>19</v>
      </c>
      <c r="C86">
        <v>79865</v>
      </c>
      <c r="D86" s="3">
        <v>21214.026000000002</v>
      </c>
      <c r="G86" s="3"/>
    </row>
    <row r="87" spans="1:7" x14ac:dyDescent="0.2">
      <c r="A87">
        <v>2022</v>
      </c>
      <c r="B87" t="s">
        <v>24</v>
      </c>
      <c r="C87">
        <v>21066</v>
      </c>
      <c r="D87" s="3">
        <v>10137.519</v>
      </c>
      <c r="G87" s="3"/>
    </row>
    <row r="88" spans="1:7" x14ac:dyDescent="0.2">
      <c r="A88">
        <v>2022</v>
      </c>
      <c r="B88" t="s">
        <v>20</v>
      </c>
      <c r="C88">
        <v>50690</v>
      </c>
      <c r="D88" s="3">
        <v>13177.273999999999</v>
      </c>
      <c r="G88" s="3"/>
    </row>
    <row r="89" spans="1:7" x14ac:dyDescent="0.2">
      <c r="A89">
        <v>2022</v>
      </c>
      <c r="B89" t="s">
        <v>26</v>
      </c>
      <c r="C89">
        <v>7501</v>
      </c>
      <c r="D89" s="3">
        <v>6394.3150000000005</v>
      </c>
      <c r="G89" s="3"/>
    </row>
    <row r="90" spans="1:7" x14ac:dyDescent="0.2">
      <c r="A90">
        <v>2022</v>
      </c>
      <c r="B90" t="s">
        <v>30</v>
      </c>
      <c r="C90">
        <v>56537</v>
      </c>
      <c r="D90" s="3">
        <v>14230.592000000001</v>
      </c>
      <c r="G90" s="3"/>
    </row>
    <row r="91" spans="1:7" x14ac:dyDescent="0.2">
      <c r="A91">
        <v>2022</v>
      </c>
      <c r="B91" t="s">
        <v>28</v>
      </c>
      <c r="C91">
        <v>33157</v>
      </c>
      <c r="D91" s="3">
        <v>109310.973</v>
      </c>
      <c r="G91" s="3"/>
    </row>
    <row r="92" spans="1:7" x14ac:dyDescent="0.2">
      <c r="A92">
        <v>2022</v>
      </c>
      <c r="B92" t="s">
        <v>21</v>
      </c>
      <c r="C92">
        <v>31980</v>
      </c>
      <c r="D92" s="3">
        <v>10397.741</v>
      </c>
      <c r="G92" s="3"/>
    </row>
    <row r="93" spans="1:7" x14ac:dyDescent="0.2">
      <c r="A93">
        <v>2022</v>
      </c>
      <c r="B93" t="s">
        <v>22</v>
      </c>
      <c r="C93">
        <v>30948</v>
      </c>
      <c r="D93" s="3">
        <v>10441.134999999998</v>
      </c>
      <c r="G93" s="3"/>
    </row>
    <row r="94" spans="1:7" x14ac:dyDescent="0.2">
      <c r="A94">
        <v>2022</v>
      </c>
      <c r="B94" t="s">
        <v>23</v>
      </c>
      <c r="C94">
        <v>23787</v>
      </c>
      <c r="D94" s="3">
        <v>11558.656000000001</v>
      </c>
      <c r="G94" s="3"/>
    </row>
    <row r="95" spans="1:7" x14ac:dyDescent="0.2">
      <c r="A95">
        <v>2022</v>
      </c>
      <c r="B95" t="s">
        <v>31</v>
      </c>
      <c r="C95">
        <v>5211</v>
      </c>
      <c r="D95" s="3">
        <v>4061.6</v>
      </c>
      <c r="G95" s="3"/>
    </row>
    <row r="96" spans="1:7" x14ac:dyDescent="0.2">
      <c r="A96">
        <v>2022</v>
      </c>
      <c r="B96" t="s">
        <v>25</v>
      </c>
      <c r="C96">
        <v>16853</v>
      </c>
      <c r="D96" s="3">
        <v>9956.6219999999994</v>
      </c>
      <c r="G96" s="3"/>
    </row>
    <row r="97" spans="1:7" x14ac:dyDescent="0.2">
      <c r="A97">
        <v>2022</v>
      </c>
      <c r="B97" t="s">
        <v>27</v>
      </c>
      <c r="C97">
        <v>5839</v>
      </c>
      <c r="D97" s="3">
        <v>4714.612000000001</v>
      </c>
      <c r="G97" s="3"/>
    </row>
    <row r="98" spans="1:7" x14ac:dyDescent="0.2">
      <c r="A98">
        <v>2023</v>
      </c>
      <c r="B98" t="s">
        <v>19</v>
      </c>
      <c r="C98">
        <v>115533</v>
      </c>
      <c r="D98" s="3">
        <v>21613.311000000002</v>
      </c>
      <c r="G98" s="3"/>
    </row>
    <row r="99" spans="1:7" x14ac:dyDescent="0.2">
      <c r="A99">
        <v>2023</v>
      </c>
      <c r="B99" t="s">
        <v>24</v>
      </c>
      <c r="C99">
        <v>24736</v>
      </c>
      <c r="D99" s="3">
        <v>10238.992</v>
      </c>
      <c r="G99" s="3"/>
    </row>
    <row r="100" spans="1:7" x14ac:dyDescent="0.2">
      <c r="A100">
        <v>2023</v>
      </c>
      <c r="B100" t="s">
        <v>20</v>
      </c>
      <c r="C100">
        <v>58707</v>
      </c>
      <c r="D100" s="3">
        <v>13294.921999999999</v>
      </c>
      <c r="G100" s="3"/>
    </row>
    <row r="101" spans="1:7" x14ac:dyDescent="0.2">
      <c r="A101">
        <v>2023</v>
      </c>
      <c r="B101" t="s">
        <v>26</v>
      </c>
      <c r="C101">
        <v>8119</v>
      </c>
      <c r="D101" s="3">
        <v>6457.3729999999996</v>
      </c>
      <c r="G101" s="3"/>
    </row>
    <row r="102" spans="1:7" x14ac:dyDescent="0.2">
      <c r="A102">
        <v>2023</v>
      </c>
      <c r="B102" t="s">
        <v>30</v>
      </c>
      <c r="C102">
        <v>69989</v>
      </c>
      <c r="D102" s="3">
        <v>14444.152</v>
      </c>
      <c r="G102" s="3"/>
    </row>
    <row r="103" spans="1:7" x14ac:dyDescent="0.2">
      <c r="A103">
        <v>2023</v>
      </c>
      <c r="B103" t="s">
        <v>28</v>
      </c>
      <c r="C103">
        <v>41320</v>
      </c>
      <c r="D103" s="3">
        <v>110576.83</v>
      </c>
      <c r="G103" s="3"/>
    </row>
    <row r="104" spans="1:7" x14ac:dyDescent="0.2">
      <c r="A104">
        <v>2023</v>
      </c>
      <c r="B104" t="s">
        <v>21</v>
      </c>
      <c r="C104">
        <v>36458</v>
      </c>
      <c r="D104" s="3">
        <v>10539.456</v>
      </c>
      <c r="G104" s="3"/>
    </row>
    <row r="105" spans="1:7" x14ac:dyDescent="0.2">
      <c r="A105">
        <v>2023</v>
      </c>
      <c r="B105" t="s">
        <v>22</v>
      </c>
      <c r="C105">
        <v>37946</v>
      </c>
      <c r="D105" s="3">
        <v>10405.553</v>
      </c>
      <c r="G105" s="3"/>
    </row>
    <row r="106" spans="1:7" x14ac:dyDescent="0.2">
      <c r="A106">
        <v>2023</v>
      </c>
      <c r="B106" t="s">
        <v>23</v>
      </c>
      <c r="C106">
        <v>23653</v>
      </c>
      <c r="D106" s="3">
        <v>11679.957</v>
      </c>
      <c r="G106" s="3"/>
    </row>
    <row r="107" spans="1:7" x14ac:dyDescent="0.2">
      <c r="A107">
        <v>2023</v>
      </c>
      <c r="B107" t="s">
        <v>31</v>
      </c>
      <c r="C107">
        <v>7397</v>
      </c>
      <c r="D107" s="3">
        <v>4123</v>
      </c>
      <c r="G107" s="3"/>
    </row>
    <row r="108" spans="1:7" x14ac:dyDescent="0.2">
      <c r="A108">
        <v>2023</v>
      </c>
      <c r="B108" t="s">
        <v>25</v>
      </c>
      <c r="C108">
        <v>23336</v>
      </c>
      <c r="D108" s="3">
        <v>10099.852999999999</v>
      </c>
      <c r="G108" s="3"/>
    </row>
    <row r="109" spans="1:7" x14ac:dyDescent="0.2">
      <c r="A109">
        <v>2023</v>
      </c>
      <c r="B109" t="s">
        <v>27</v>
      </c>
      <c r="C109">
        <v>6181</v>
      </c>
      <c r="D109" s="3">
        <v>4773.451</v>
      </c>
      <c r="G109" s="3"/>
    </row>
    <row r="110" spans="1:7" x14ac:dyDescent="0.2">
      <c r="A110">
        <v>2024</v>
      </c>
      <c r="B110" t="s">
        <v>19</v>
      </c>
      <c r="C110">
        <v>140517</v>
      </c>
      <c r="D110" s="3">
        <v>21955.512999999999</v>
      </c>
      <c r="G110" s="3"/>
    </row>
    <row r="111" spans="1:7" x14ac:dyDescent="0.2">
      <c r="A111">
        <v>2024</v>
      </c>
      <c r="B111" t="s">
        <v>24</v>
      </c>
      <c r="C111">
        <v>29600</v>
      </c>
      <c r="D111" s="3">
        <v>10368.380000000001</v>
      </c>
      <c r="G111" s="3"/>
    </row>
    <row r="112" spans="1:7" x14ac:dyDescent="0.2">
      <c r="A112">
        <v>2024</v>
      </c>
      <c r="B112" t="s">
        <v>20</v>
      </c>
      <c r="C112">
        <v>67985</v>
      </c>
      <c r="D112" s="3">
        <v>13446.754999999999</v>
      </c>
      <c r="G112" s="3"/>
    </row>
    <row r="113" spans="1:7" x14ac:dyDescent="0.2">
      <c r="A113">
        <v>2024</v>
      </c>
      <c r="B113" t="s">
        <v>26</v>
      </c>
      <c r="C113">
        <v>10859</v>
      </c>
      <c r="D113" s="3">
        <v>6541.6880000000001</v>
      </c>
      <c r="G113" s="3"/>
    </row>
    <row r="114" spans="1:7" x14ac:dyDescent="0.2">
      <c r="A114">
        <v>2024</v>
      </c>
      <c r="B114" t="s">
        <v>30</v>
      </c>
      <c r="C114">
        <v>74724</v>
      </c>
      <c r="D114" s="3">
        <v>14669.518</v>
      </c>
      <c r="G114" s="3"/>
    </row>
    <row r="115" spans="1:7" x14ac:dyDescent="0.2">
      <c r="A115">
        <v>2024</v>
      </c>
      <c r="B115" t="s">
        <v>28</v>
      </c>
      <c r="C115">
        <v>61878</v>
      </c>
      <c r="D115" s="3">
        <v>112032.485</v>
      </c>
      <c r="G115" s="3"/>
    </row>
    <row r="116" spans="1:7" x14ac:dyDescent="0.2">
      <c r="A116">
        <v>2024</v>
      </c>
      <c r="B116" t="s">
        <v>21</v>
      </c>
      <c r="C116">
        <v>45043</v>
      </c>
      <c r="D116" s="3">
        <v>10701.824000000001</v>
      </c>
      <c r="G116" s="3"/>
    </row>
    <row r="117" spans="1:7" x14ac:dyDescent="0.2">
      <c r="A117">
        <v>2024</v>
      </c>
      <c r="B117" t="s">
        <v>22</v>
      </c>
      <c r="C117">
        <v>44857</v>
      </c>
      <c r="D117" s="3">
        <v>10440.598</v>
      </c>
      <c r="G117" s="3"/>
    </row>
    <row r="118" spans="1:7" x14ac:dyDescent="0.2">
      <c r="A118">
        <v>2024</v>
      </c>
      <c r="B118" t="s">
        <v>23</v>
      </c>
      <c r="C118">
        <v>26373</v>
      </c>
      <c r="D118" s="3">
        <v>11787.437999999998</v>
      </c>
      <c r="G118" s="3"/>
    </row>
    <row r="119" spans="1:7" x14ac:dyDescent="0.2">
      <c r="A119">
        <v>2024</v>
      </c>
      <c r="B119" t="s">
        <v>31</v>
      </c>
      <c r="C119">
        <v>9667</v>
      </c>
      <c r="D119" s="3">
        <v>4190.2</v>
      </c>
      <c r="G119" s="3"/>
    </row>
    <row r="120" spans="1:7" x14ac:dyDescent="0.2">
      <c r="A120">
        <v>2024</v>
      </c>
      <c r="B120" t="s">
        <v>25</v>
      </c>
      <c r="C120">
        <v>27015</v>
      </c>
      <c r="D120" s="3">
        <v>10236.238000000001</v>
      </c>
      <c r="G120" s="3"/>
    </row>
    <row r="121" spans="1:7" x14ac:dyDescent="0.2">
      <c r="A121">
        <v>2024</v>
      </c>
      <c r="B121" t="s">
        <v>27</v>
      </c>
      <c r="C121">
        <v>9140</v>
      </c>
      <c r="D121" s="3">
        <v>4844.2129999999997</v>
      </c>
      <c r="G121" s="3"/>
    </row>
    <row r="122" spans="1:7" x14ac:dyDescent="0.2">
      <c r="A122">
        <v>2025</v>
      </c>
      <c r="B122" t="s">
        <v>19</v>
      </c>
      <c r="C122">
        <v>154533</v>
      </c>
      <c r="D122" s="3">
        <v>16814.661</v>
      </c>
      <c r="G122" s="3"/>
    </row>
    <row r="123" spans="1:7" x14ac:dyDescent="0.2">
      <c r="A123">
        <v>2025</v>
      </c>
      <c r="B123" t="s">
        <v>24</v>
      </c>
      <c r="C123">
        <v>30163</v>
      </c>
      <c r="D123" s="3">
        <v>7854.1190000000006</v>
      </c>
      <c r="G123" s="3"/>
    </row>
    <row r="124" spans="1:7" x14ac:dyDescent="0.2">
      <c r="A124">
        <v>2025</v>
      </c>
      <c r="B124" t="s">
        <v>20</v>
      </c>
      <c r="C124">
        <v>56435</v>
      </c>
      <c r="D124" s="3">
        <v>10152.632</v>
      </c>
      <c r="G124" s="3"/>
    </row>
    <row r="125" spans="1:7" x14ac:dyDescent="0.2">
      <c r="A125">
        <v>2025</v>
      </c>
      <c r="B125" t="s">
        <v>26</v>
      </c>
      <c r="C125">
        <v>10864</v>
      </c>
      <c r="D125" s="3">
        <v>4962.2929999999997</v>
      </c>
      <c r="G125" s="3"/>
    </row>
    <row r="126" spans="1:7" x14ac:dyDescent="0.2">
      <c r="A126">
        <v>2025</v>
      </c>
      <c r="B126" t="s">
        <v>30</v>
      </c>
      <c r="C126">
        <v>66552</v>
      </c>
      <c r="D126" s="3">
        <v>11130.733</v>
      </c>
      <c r="G126" s="3"/>
    </row>
    <row r="127" spans="1:7" x14ac:dyDescent="0.2">
      <c r="A127">
        <v>2025</v>
      </c>
      <c r="B127" t="s">
        <v>28</v>
      </c>
      <c r="C127">
        <v>53507</v>
      </c>
      <c r="D127" s="3">
        <v>85087.284</v>
      </c>
      <c r="G127" s="3"/>
    </row>
    <row r="128" spans="1:7" x14ac:dyDescent="0.2">
      <c r="A128">
        <v>2025</v>
      </c>
      <c r="B128" t="s">
        <v>21</v>
      </c>
      <c r="C128">
        <v>40605</v>
      </c>
      <c r="D128" s="3">
        <v>8121.8969999999999</v>
      </c>
      <c r="G128" s="3"/>
    </row>
    <row r="129" spans="1:7" x14ac:dyDescent="0.2">
      <c r="A129">
        <v>2025</v>
      </c>
      <c r="B129" t="s">
        <v>22</v>
      </c>
      <c r="C129">
        <v>37939</v>
      </c>
      <c r="D129" s="3">
        <v>7872.5040000000008</v>
      </c>
      <c r="G129" s="3"/>
    </row>
    <row r="130" spans="1:7" x14ac:dyDescent="0.2">
      <c r="A130">
        <v>2025</v>
      </c>
      <c r="B130" t="s">
        <v>23</v>
      </c>
      <c r="C130">
        <v>24789</v>
      </c>
      <c r="D130" s="3">
        <v>8949.7579999999998</v>
      </c>
      <c r="G130" s="3"/>
    </row>
    <row r="131" spans="1:7" x14ac:dyDescent="0.2">
      <c r="A131">
        <v>2025</v>
      </c>
      <c r="B131" t="s">
        <v>31</v>
      </c>
      <c r="C131">
        <v>8980</v>
      </c>
      <c r="D131" s="3">
        <v>3206.6</v>
      </c>
      <c r="G131" s="3"/>
    </row>
    <row r="132" spans="1:7" x14ac:dyDescent="0.2">
      <c r="A132">
        <v>2025</v>
      </c>
      <c r="B132" t="s">
        <v>25</v>
      </c>
      <c r="C132">
        <v>27637</v>
      </c>
      <c r="D132" s="3">
        <v>7737.9189999999999</v>
      </c>
      <c r="G132" s="3"/>
    </row>
    <row r="133" spans="1:7" x14ac:dyDescent="0.2">
      <c r="A133">
        <v>2025</v>
      </c>
      <c r="B133" t="s">
        <v>27</v>
      </c>
      <c r="C133">
        <v>8657</v>
      </c>
      <c r="D133" s="3">
        <v>3680.076</v>
      </c>
      <c r="G133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C64C-6E34-984E-A1CD-CF9F01ED6682}">
  <sheetPr codeName="Sheet4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345A4-2DE1-DD4C-9A8E-84E566005A97}">
  <sheetPr codeName="Sheet5"/>
  <dimension ref="A1:O13"/>
  <sheetViews>
    <sheetView workbookViewId="0">
      <selection sqref="A1:O13"/>
    </sheetView>
  </sheetViews>
  <sheetFormatPr baseColWidth="10" defaultRowHeight="16" x14ac:dyDescent="0.2"/>
  <cols>
    <col min="1" max="1" width="28.1640625" bestFit="1" customWidth="1"/>
    <col min="12" max="12" width="16.33203125" bestFit="1" customWidth="1"/>
    <col min="13" max="14" width="18.1640625" bestFit="1" customWidth="1"/>
    <col min="15" max="15" width="10.5" bestFit="1" customWidth="1"/>
  </cols>
  <sheetData>
    <row r="1" spans="1:15" x14ac:dyDescent="0.2">
      <c r="A1" t="s">
        <v>16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 t="s">
        <v>0</v>
      </c>
      <c r="M1" t="s">
        <v>1</v>
      </c>
      <c r="N1" t="s">
        <v>2</v>
      </c>
      <c r="O1" t="s">
        <v>3</v>
      </c>
    </row>
    <row r="2" spans="1:15" x14ac:dyDescent="0.2">
      <c r="A2" t="s">
        <v>4</v>
      </c>
      <c r="B2">
        <v>26353</v>
      </c>
      <c r="C2">
        <v>37824</v>
      </c>
      <c r="D2">
        <v>47557</v>
      </c>
      <c r="E2">
        <v>55344</v>
      </c>
      <c r="F2">
        <v>66333</v>
      </c>
      <c r="G2">
        <v>155318</v>
      </c>
      <c r="H2">
        <v>273134</v>
      </c>
      <c r="I2">
        <v>329656</v>
      </c>
      <c r="J2">
        <v>413123</v>
      </c>
      <c r="K2">
        <v>497532</v>
      </c>
      <c r="L2">
        <f>K2-J2</f>
        <v>84409</v>
      </c>
      <c r="M2" s="1">
        <f>(L2/K2)*100%</f>
        <v>0.16965541914891907</v>
      </c>
      <c r="N2">
        <f t="shared" ref="N2:N13" si="0">((K2-B2)/B2)*100%</f>
        <v>17.879520358213487</v>
      </c>
      <c r="O2">
        <v>1902174</v>
      </c>
    </row>
    <row r="3" spans="1:15" x14ac:dyDescent="0.2">
      <c r="A3" t="s">
        <v>5</v>
      </c>
      <c r="B3">
        <v>5555</v>
      </c>
      <c r="C3">
        <v>8610</v>
      </c>
      <c r="D3">
        <v>10009</v>
      </c>
      <c r="E3">
        <v>14013</v>
      </c>
      <c r="F3">
        <v>15585</v>
      </c>
      <c r="G3">
        <v>38968</v>
      </c>
      <c r="H3">
        <v>62110</v>
      </c>
      <c r="I3">
        <v>79865</v>
      </c>
      <c r="J3">
        <v>115533</v>
      </c>
      <c r="K3">
        <v>140517</v>
      </c>
      <c r="L3">
        <f t="shared" ref="L3:L13" si="1">K3-J3</f>
        <v>24984</v>
      </c>
      <c r="M3" s="1">
        <f t="shared" ref="M3:M13" si="2">(L3/K3)*100%</f>
        <v>0.17780055082303209</v>
      </c>
      <c r="N3">
        <f t="shared" si="0"/>
        <v>24.295589558955896</v>
      </c>
      <c r="O3">
        <v>490765</v>
      </c>
    </row>
    <row r="4" spans="1:15" x14ac:dyDescent="0.2">
      <c r="A4" t="s">
        <v>6</v>
      </c>
      <c r="B4">
        <v>4454</v>
      </c>
      <c r="C4">
        <v>4299</v>
      </c>
      <c r="D4">
        <v>6116</v>
      </c>
      <c r="E4">
        <v>8287</v>
      </c>
      <c r="F4">
        <v>8101</v>
      </c>
      <c r="G4">
        <v>28510</v>
      </c>
      <c r="H4">
        <v>47315</v>
      </c>
      <c r="I4">
        <v>50690</v>
      </c>
      <c r="J4">
        <v>58707</v>
      </c>
      <c r="K4">
        <v>67985</v>
      </c>
      <c r="L4">
        <f t="shared" si="1"/>
        <v>9278</v>
      </c>
      <c r="M4" s="1">
        <f t="shared" si="2"/>
        <v>0.13647128042950651</v>
      </c>
      <c r="N4">
        <f t="shared" si="0"/>
        <v>14.263807813201616</v>
      </c>
      <c r="O4">
        <v>284464</v>
      </c>
    </row>
    <row r="5" spans="1:15" x14ac:dyDescent="0.2">
      <c r="A5" t="s">
        <v>7</v>
      </c>
      <c r="B5">
        <v>1879</v>
      </c>
      <c r="C5">
        <v>1978</v>
      </c>
      <c r="D5">
        <v>2613</v>
      </c>
      <c r="E5">
        <v>2410</v>
      </c>
      <c r="F5">
        <v>3493</v>
      </c>
      <c r="G5">
        <v>14372</v>
      </c>
      <c r="H5">
        <v>38915</v>
      </c>
      <c r="I5">
        <v>56537</v>
      </c>
      <c r="J5">
        <v>69989</v>
      </c>
      <c r="K5">
        <v>74724</v>
      </c>
      <c r="L5">
        <f t="shared" si="1"/>
        <v>4735</v>
      </c>
      <c r="M5" s="1">
        <f t="shared" si="2"/>
        <v>6.3366522134789355E-2</v>
      </c>
      <c r="N5">
        <f t="shared" si="0"/>
        <v>38.767961681745611</v>
      </c>
      <c r="O5">
        <v>266910</v>
      </c>
    </row>
    <row r="6" spans="1:15" x14ac:dyDescent="0.2">
      <c r="A6" t="s">
        <v>8</v>
      </c>
      <c r="B6">
        <v>4100</v>
      </c>
      <c r="C6">
        <v>6844</v>
      </c>
      <c r="D6">
        <v>7419</v>
      </c>
      <c r="E6">
        <v>7964</v>
      </c>
      <c r="F6">
        <v>8460</v>
      </c>
      <c r="G6">
        <v>17357</v>
      </c>
      <c r="H6">
        <v>33383</v>
      </c>
      <c r="I6">
        <v>33157</v>
      </c>
      <c r="J6">
        <v>41320</v>
      </c>
      <c r="K6">
        <v>61878</v>
      </c>
      <c r="L6">
        <f t="shared" si="1"/>
        <v>20558</v>
      </c>
      <c r="M6" s="1">
        <f t="shared" si="2"/>
        <v>0.33223439671611882</v>
      </c>
      <c r="N6">
        <f t="shared" si="0"/>
        <v>14.092195121951219</v>
      </c>
      <c r="O6">
        <v>221882</v>
      </c>
    </row>
    <row r="7" spans="1:15" x14ac:dyDescent="0.2">
      <c r="A7" t="s">
        <v>9</v>
      </c>
      <c r="B7">
        <v>1945</v>
      </c>
      <c r="C7">
        <v>3127</v>
      </c>
      <c r="D7">
        <v>4039</v>
      </c>
      <c r="E7">
        <v>4836</v>
      </c>
      <c r="F7">
        <v>7447</v>
      </c>
      <c r="G7">
        <v>16688</v>
      </c>
      <c r="H7">
        <v>26567</v>
      </c>
      <c r="I7">
        <v>31980</v>
      </c>
      <c r="J7">
        <v>36458</v>
      </c>
      <c r="K7">
        <v>45043</v>
      </c>
      <c r="L7">
        <f t="shared" si="1"/>
        <v>8585</v>
      </c>
      <c r="M7" s="1">
        <f t="shared" si="2"/>
        <v>0.19059565304264814</v>
      </c>
      <c r="N7">
        <f t="shared" si="0"/>
        <v>22.15835475578406</v>
      </c>
      <c r="O7">
        <v>178130</v>
      </c>
    </row>
    <row r="8" spans="1:15" x14ac:dyDescent="0.2">
      <c r="A8" t="s">
        <v>10</v>
      </c>
      <c r="B8">
        <v>2334</v>
      </c>
      <c r="C8">
        <v>4138</v>
      </c>
      <c r="D8">
        <v>6452</v>
      </c>
      <c r="E8">
        <v>5319</v>
      </c>
      <c r="F8">
        <v>7456</v>
      </c>
      <c r="G8">
        <v>12131</v>
      </c>
      <c r="H8">
        <v>23188</v>
      </c>
      <c r="I8">
        <v>30948</v>
      </c>
      <c r="J8">
        <v>37946</v>
      </c>
      <c r="K8">
        <v>44857</v>
      </c>
      <c r="L8">
        <f t="shared" si="1"/>
        <v>6911</v>
      </c>
      <c r="M8" s="1">
        <f t="shared" si="2"/>
        <v>0.1540673696413046</v>
      </c>
      <c r="N8">
        <f t="shared" si="0"/>
        <v>18.218937446443874</v>
      </c>
      <c r="O8">
        <v>174769</v>
      </c>
    </row>
    <row r="9" spans="1:15" x14ac:dyDescent="0.2">
      <c r="A9" t="s">
        <v>11</v>
      </c>
      <c r="B9">
        <v>3798</v>
      </c>
      <c r="C9">
        <v>6026</v>
      </c>
      <c r="D9">
        <v>7376</v>
      </c>
      <c r="E9">
        <v>8835</v>
      </c>
      <c r="F9">
        <v>11716</v>
      </c>
      <c r="G9">
        <v>18626</v>
      </c>
      <c r="H9">
        <v>23322</v>
      </c>
      <c r="I9">
        <v>23787</v>
      </c>
      <c r="J9">
        <v>23653</v>
      </c>
      <c r="K9">
        <v>26373</v>
      </c>
      <c r="L9">
        <f t="shared" si="1"/>
        <v>2720</v>
      </c>
      <c r="M9" s="1">
        <f t="shared" si="2"/>
        <v>0.10313578280817502</v>
      </c>
      <c r="N9">
        <f t="shared" si="0"/>
        <v>5.9439178515007898</v>
      </c>
      <c r="O9">
        <v>153512</v>
      </c>
    </row>
    <row r="10" spans="1:15" x14ac:dyDescent="0.2">
      <c r="A10" t="s">
        <v>12</v>
      </c>
      <c r="B10">
        <v>1324</v>
      </c>
      <c r="C10">
        <v>1439</v>
      </c>
      <c r="D10">
        <v>2437</v>
      </c>
      <c r="E10">
        <v>3391</v>
      </c>
      <c r="F10">
        <v>4707</v>
      </c>
      <c r="G10">
        <v>10585</v>
      </c>
      <c r="H10">
        <v>16974</v>
      </c>
      <c r="I10">
        <v>21066</v>
      </c>
      <c r="J10">
        <v>24736</v>
      </c>
      <c r="K10">
        <v>29600</v>
      </c>
      <c r="L10">
        <f t="shared" si="1"/>
        <v>4864</v>
      </c>
      <c r="M10" s="1">
        <f t="shared" si="2"/>
        <v>0.16432432432432431</v>
      </c>
      <c r="N10">
        <f t="shared" si="0"/>
        <v>21.356495468277945</v>
      </c>
      <c r="O10">
        <v>116259</v>
      </c>
    </row>
    <row r="11" spans="1:15" x14ac:dyDescent="0.2">
      <c r="A11" t="s">
        <v>13</v>
      </c>
      <c r="B11">
        <v>1442</v>
      </c>
      <c r="C11">
        <v>2134</v>
      </c>
      <c r="D11">
        <v>2736</v>
      </c>
      <c r="E11">
        <v>3029</v>
      </c>
      <c r="F11">
        <v>3250</v>
      </c>
      <c r="G11">
        <v>6768</v>
      </c>
      <c r="H11">
        <v>13551</v>
      </c>
      <c r="I11">
        <v>16853</v>
      </c>
      <c r="J11">
        <v>23336</v>
      </c>
      <c r="K11">
        <v>27015</v>
      </c>
      <c r="L11">
        <f t="shared" si="1"/>
        <v>3679</v>
      </c>
      <c r="M11" s="1">
        <f t="shared" si="2"/>
        <v>0.13618360170275773</v>
      </c>
      <c r="N11">
        <f t="shared" si="0"/>
        <v>17.734396671289876</v>
      </c>
      <c r="O11">
        <v>100114</v>
      </c>
    </row>
    <row r="12" spans="1:15" x14ac:dyDescent="0.2">
      <c r="A12" t="s">
        <v>14</v>
      </c>
      <c r="B12">
        <v>620</v>
      </c>
      <c r="C12">
        <v>612</v>
      </c>
      <c r="D12">
        <v>827</v>
      </c>
      <c r="E12">
        <v>871</v>
      </c>
      <c r="F12">
        <v>1127</v>
      </c>
      <c r="G12">
        <v>3340</v>
      </c>
      <c r="H12">
        <v>5459</v>
      </c>
      <c r="I12">
        <v>7501</v>
      </c>
      <c r="J12">
        <v>8119</v>
      </c>
      <c r="K12">
        <v>10859</v>
      </c>
      <c r="L12">
        <f t="shared" si="1"/>
        <v>2740</v>
      </c>
      <c r="M12" s="1">
        <f t="shared" si="2"/>
        <v>0.2523252601528686</v>
      </c>
      <c r="N12">
        <f t="shared" si="0"/>
        <v>16.514516129032259</v>
      </c>
      <c r="O12">
        <v>39335</v>
      </c>
    </row>
    <row r="13" spans="1:15" x14ac:dyDescent="0.2">
      <c r="A13" t="s">
        <v>15</v>
      </c>
      <c r="B13">
        <v>846</v>
      </c>
      <c r="C13">
        <v>668</v>
      </c>
      <c r="D13">
        <v>797</v>
      </c>
      <c r="E13">
        <v>651</v>
      </c>
      <c r="F13">
        <v>825</v>
      </c>
      <c r="G13">
        <v>1898</v>
      </c>
      <c r="H13">
        <v>4783</v>
      </c>
      <c r="I13">
        <v>5839</v>
      </c>
      <c r="J13">
        <v>6181</v>
      </c>
      <c r="K13">
        <v>9140</v>
      </c>
      <c r="L13">
        <f t="shared" si="1"/>
        <v>2959</v>
      </c>
      <c r="M13" s="1">
        <f t="shared" si="2"/>
        <v>0.32374179431072209</v>
      </c>
      <c r="N13">
        <f t="shared" si="0"/>
        <v>9.8037825059101653</v>
      </c>
      <c r="O13">
        <v>31628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6C0E4-C2D6-9E4E-8B4C-2B5DFF7AC0A4}">
  <sheetPr codeName="Sheet6"/>
  <dimension ref="A1:O26"/>
  <sheetViews>
    <sheetView workbookViewId="0">
      <selection activeCell="C15" sqref="C15"/>
    </sheetView>
  </sheetViews>
  <sheetFormatPr baseColWidth="10" defaultRowHeight="16" x14ac:dyDescent="0.2"/>
  <cols>
    <col min="5" max="5" width="13.1640625" bestFit="1" customWidth="1"/>
    <col min="6" max="6" width="22.33203125" bestFit="1" customWidth="1"/>
    <col min="8" max="8" width="13" bestFit="1" customWidth="1"/>
    <col min="13" max="13" width="16.33203125" bestFit="1" customWidth="1"/>
    <col min="14" max="14" width="18.1640625" bestFit="1" customWidth="1"/>
    <col min="15" max="15" width="18.1640625" style="2" bestFit="1" customWidth="1"/>
  </cols>
  <sheetData>
    <row r="1" spans="1:15" x14ac:dyDescent="0.2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 t="s">
        <v>17</v>
      </c>
      <c r="N1" t="s">
        <v>18</v>
      </c>
      <c r="O1" s="2" t="s">
        <v>29</v>
      </c>
    </row>
    <row r="2" spans="1:15" x14ac:dyDescent="0.2">
      <c r="A2" t="s">
        <v>19</v>
      </c>
      <c r="B2">
        <v>5555</v>
      </c>
      <c r="C2">
        <v>8610</v>
      </c>
      <c r="D2">
        <v>10009</v>
      </c>
      <c r="E2">
        <v>14013</v>
      </c>
      <c r="F2">
        <v>15585</v>
      </c>
      <c r="G2">
        <v>38968</v>
      </c>
      <c r="H2">
        <v>62110</v>
      </c>
      <c r="I2">
        <v>79865</v>
      </c>
      <c r="J2">
        <v>115533</v>
      </c>
      <c r="K2">
        <v>140517</v>
      </c>
      <c r="L2">
        <v>154533</v>
      </c>
      <c r="M2">
        <f>L2-K2</f>
        <v>14016</v>
      </c>
      <c r="N2" s="1">
        <f>(M2/L2)*100%</f>
        <v>9.0699073984197548E-2</v>
      </c>
      <c r="O2" s="2">
        <f>((L2-B2)/B2)*100%</f>
        <v>26.818721872187218</v>
      </c>
    </row>
    <row r="3" spans="1:15" x14ac:dyDescent="0.2">
      <c r="A3" t="s">
        <v>20</v>
      </c>
      <c r="B3">
        <v>4454</v>
      </c>
      <c r="C3">
        <v>4299</v>
      </c>
      <c r="D3">
        <v>6116</v>
      </c>
      <c r="E3">
        <v>8287</v>
      </c>
      <c r="F3">
        <v>8101</v>
      </c>
      <c r="G3">
        <v>28510</v>
      </c>
      <c r="H3">
        <v>47315</v>
      </c>
      <c r="I3">
        <v>50690</v>
      </c>
      <c r="J3">
        <v>58707</v>
      </c>
      <c r="K3">
        <v>67985</v>
      </c>
      <c r="L3">
        <v>56435</v>
      </c>
      <c r="M3">
        <f t="shared" ref="M3:M13" si="0">L3-K3</f>
        <v>-11550</v>
      </c>
      <c r="N3" s="1">
        <f t="shared" ref="N3:N13" si="1">(M3/L3)*100%</f>
        <v>-0.204660228581554</v>
      </c>
      <c r="O3" s="2">
        <f t="shared" ref="O3:O13" si="2">((L3-B3)/B3)*100%</f>
        <v>11.670633138751684</v>
      </c>
    </row>
    <row r="4" spans="1:15" x14ac:dyDescent="0.2">
      <c r="A4" t="s">
        <v>30</v>
      </c>
      <c r="B4">
        <v>1879</v>
      </c>
      <c r="C4">
        <v>1978</v>
      </c>
      <c r="D4">
        <v>2613</v>
      </c>
      <c r="E4">
        <v>2410</v>
      </c>
      <c r="F4">
        <v>3493</v>
      </c>
      <c r="G4">
        <v>14372</v>
      </c>
      <c r="H4">
        <v>38915</v>
      </c>
      <c r="I4">
        <v>56537</v>
      </c>
      <c r="J4">
        <v>69989</v>
      </c>
      <c r="K4">
        <v>74724</v>
      </c>
      <c r="L4">
        <v>66552</v>
      </c>
      <c r="M4">
        <f t="shared" si="0"/>
        <v>-8172</v>
      </c>
      <c r="N4" s="1">
        <f t="shared" si="1"/>
        <v>-0.12279120086548864</v>
      </c>
      <c r="O4" s="2">
        <f t="shared" si="2"/>
        <v>34.418839808408727</v>
      </c>
    </row>
    <row r="5" spans="1:15" x14ac:dyDescent="0.2">
      <c r="A5" t="s">
        <v>28</v>
      </c>
      <c r="B5">
        <v>4100</v>
      </c>
      <c r="C5">
        <v>6844</v>
      </c>
      <c r="D5">
        <v>7419</v>
      </c>
      <c r="E5">
        <v>7964</v>
      </c>
      <c r="F5">
        <v>8460</v>
      </c>
      <c r="G5">
        <v>17357</v>
      </c>
      <c r="H5">
        <v>33383</v>
      </c>
      <c r="I5">
        <v>33157</v>
      </c>
      <c r="J5">
        <v>41320</v>
      </c>
      <c r="K5">
        <v>61878</v>
      </c>
      <c r="L5">
        <v>53507</v>
      </c>
      <c r="M5">
        <f t="shared" si="0"/>
        <v>-8371</v>
      </c>
      <c r="N5" s="1">
        <f t="shared" si="1"/>
        <v>-0.15644682004223748</v>
      </c>
      <c r="O5" s="2">
        <f t="shared" si="2"/>
        <v>12.050487804878049</v>
      </c>
    </row>
    <row r="6" spans="1:15" x14ac:dyDescent="0.2">
      <c r="A6" t="s">
        <v>21</v>
      </c>
      <c r="B6">
        <v>1945</v>
      </c>
      <c r="C6">
        <v>3127</v>
      </c>
      <c r="D6">
        <v>4039</v>
      </c>
      <c r="E6">
        <v>4836</v>
      </c>
      <c r="F6">
        <v>7447</v>
      </c>
      <c r="G6">
        <v>16688</v>
      </c>
      <c r="H6">
        <v>26567</v>
      </c>
      <c r="I6">
        <v>31980</v>
      </c>
      <c r="J6">
        <v>36458</v>
      </c>
      <c r="K6">
        <v>45043</v>
      </c>
      <c r="L6">
        <v>40605</v>
      </c>
      <c r="M6">
        <f t="shared" si="0"/>
        <v>-4438</v>
      </c>
      <c r="N6" s="1">
        <f t="shared" si="1"/>
        <v>-0.10929688462012067</v>
      </c>
      <c r="O6" s="2">
        <f t="shared" si="2"/>
        <v>19.876606683804628</v>
      </c>
    </row>
    <row r="7" spans="1:15" x14ac:dyDescent="0.2">
      <c r="A7" t="s">
        <v>22</v>
      </c>
      <c r="B7">
        <v>2334</v>
      </c>
      <c r="C7">
        <v>4138</v>
      </c>
      <c r="D7">
        <v>6452</v>
      </c>
      <c r="E7">
        <v>5319</v>
      </c>
      <c r="F7">
        <v>7456</v>
      </c>
      <c r="G7">
        <v>12131</v>
      </c>
      <c r="H7">
        <v>23188</v>
      </c>
      <c r="I7">
        <v>30948</v>
      </c>
      <c r="J7">
        <v>37946</v>
      </c>
      <c r="K7">
        <v>44857</v>
      </c>
      <c r="L7">
        <v>37939</v>
      </c>
      <c r="M7">
        <f t="shared" si="0"/>
        <v>-6918</v>
      </c>
      <c r="N7" s="1">
        <f t="shared" si="1"/>
        <v>-0.18234534384142967</v>
      </c>
      <c r="O7" s="2">
        <f t="shared" si="2"/>
        <v>15.254927163667524</v>
      </c>
    </row>
    <row r="8" spans="1:15" x14ac:dyDescent="0.2">
      <c r="A8" t="s">
        <v>23</v>
      </c>
      <c r="B8">
        <v>3798</v>
      </c>
      <c r="C8">
        <v>6026</v>
      </c>
      <c r="D8">
        <v>7376</v>
      </c>
      <c r="E8">
        <v>8835</v>
      </c>
      <c r="F8">
        <v>11716</v>
      </c>
      <c r="G8">
        <v>18626</v>
      </c>
      <c r="H8">
        <v>23322</v>
      </c>
      <c r="I8">
        <v>23787</v>
      </c>
      <c r="J8">
        <v>23653</v>
      </c>
      <c r="K8">
        <v>26373</v>
      </c>
      <c r="L8">
        <v>24789</v>
      </c>
      <c r="M8">
        <f t="shared" si="0"/>
        <v>-1584</v>
      </c>
      <c r="N8" s="1">
        <f t="shared" si="1"/>
        <v>-6.3899310177901486E-2</v>
      </c>
      <c r="O8" s="2">
        <f t="shared" si="2"/>
        <v>5.5268562401263823</v>
      </c>
    </row>
    <row r="9" spans="1:15" x14ac:dyDescent="0.2">
      <c r="A9" t="s">
        <v>24</v>
      </c>
      <c r="B9">
        <v>1324</v>
      </c>
      <c r="C9">
        <v>1439</v>
      </c>
      <c r="D9">
        <v>2437</v>
      </c>
      <c r="E9">
        <v>3391</v>
      </c>
      <c r="F9">
        <v>4707</v>
      </c>
      <c r="G9">
        <v>10585</v>
      </c>
      <c r="H9">
        <v>16974</v>
      </c>
      <c r="I9">
        <v>21066</v>
      </c>
      <c r="J9">
        <v>24736</v>
      </c>
      <c r="K9">
        <v>29600</v>
      </c>
      <c r="L9">
        <v>30163</v>
      </c>
      <c r="M9">
        <f t="shared" si="0"/>
        <v>563</v>
      </c>
      <c r="N9" s="1">
        <f t="shared" si="1"/>
        <v>1.8665252130093162E-2</v>
      </c>
      <c r="O9" s="2">
        <f t="shared" si="2"/>
        <v>21.781722054380666</v>
      </c>
    </row>
    <row r="10" spans="1:15" x14ac:dyDescent="0.2">
      <c r="A10" t="s">
        <v>25</v>
      </c>
      <c r="B10">
        <v>1442</v>
      </c>
      <c r="C10">
        <v>2134</v>
      </c>
      <c r="D10">
        <v>2736</v>
      </c>
      <c r="E10">
        <v>3029</v>
      </c>
      <c r="F10">
        <v>3250</v>
      </c>
      <c r="G10">
        <v>6768</v>
      </c>
      <c r="H10">
        <v>13551</v>
      </c>
      <c r="I10">
        <v>16853</v>
      </c>
      <c r="J10">
        <v>23336</v>
      </c>
      <c r="K10">
        <v>27015</v>
      </c>
      <c r="L10">
        <v>27637</v>
      </c>
      <c r="M10">
        <f t="shared" si="0"/>
        <v>622</v>
      </c>
      <c r="N10" s="1">
        <f t="shared" si="1"/>
        <v>2.2506060715707203E-2</v>
      </c>
      <c r="O10" s="2">
        <f t="shared" si="2"/>
        <v>18.165742024965326</v>
      </c>
    </row>
    <row r="11" spans="1:15" x14ac:dyDescent="0.2">
      <c r="A11" t="s">
        <v>26</v>
      </c>
      <c r="B11">
        <v>620</v>
      </c>
      <c r="C11">
        <v>612</v>
      </c>
      <c r="D11">
        <v>827</v>
      </c>
      <c r="E11">
        <v>871</v>
      </c>
      <c r="F11">
        <v>1127</v>
      </c>
      <c r="G11">
        <v>3340</v>
      </c>
      <c r="H11">
        <v>5459</v>
      </c>
      <c r="I11">
        <v>7501</v>
      </c>
      <c r="J11">
        <v>8119</v>
      </c>
      <c r="K11">
        <v>10859</v>
      </c>
      <c r="L11">
        <v>10864</v>
      </c>
      <c r="M11">
        <f t="shared" si="0"/>
        <v>5</v>
      </c>
      <c r="N11" s="1">
        <f t="shared" si="1"/>
        <v>4.6023564064801177E-4</v>
      </c>
      <c r="O11" s="2">
        <f t="shared" si="2"/>
        <v>16.522580645161291</v>
      </c>
    </row>
    <row r="12" spans="1:15" x14ac:dyDescent="0.2">
      <c r="A12" t="s">
        <v>27</v>
      </c>
      <c r="B12">
        <v>846</v>
      </c>
      <c r="C12">
        <v>668</v>
      </c>
      <c r="D12">
        <v>797</v>
      </c>
      <c r="E12">
        <v>651</v>
      </c>
      <c r="F12">
        <v>825</v>
      </c>
      <c r="G12">
        <v>1898</v>
      </c>
      <c r="H12">
        <v>4783</v>
      </c>
      <c r="I12">
        <v>5839</v>
      </c>
      <c r="J12">
        <v>6181</v>
      </c>
      <c r="K12">
        <v>9140</v>
      </c>
      <c r="L12">
        <v>8657</v>
      </c>
      <c r="M12">
        <f t="shared" si="0"/>
        <v>-483</v>
      </c>
      <c r="N12" s="1">
        <f t="shared" si="1"/>
        <v>-5.5792999884486542E-2</v>
      </c>
      <c r="O12" s="2">
        <f t="shared" si="2"/>
        <v>9.2328605200945635</v>
      </c>
    </row>
    <row r="13" spans="1:15" x14ac:dyDescent="0.2">
      <c r="A13" t="s">
        <v>31</v>
      </c>
      <c r="B13">
        <v>431</v>
      </c>
      <c r="C13">
        <v>452</v>
      </c>
      <c r="D13">
        <v>616</v>
      </c>
      <c r="E13">
        <v>700</v>
      </c>
      <c r="F13">
        <v>805</v>
      </c>
      <c r="G13">
        <v>1912</v>
      </c>
      <c r="H13">
        <v>3699</v>
      </c>
      <c r="I13">
        <v>5211</v>
      </c>
      <c r="J13">
        <v>7397</v>
      </c>
      <c r="K13">
        <v>9667</v>
      </c>
      <c r="L13">
        <v>8980</v>
      </c>
      <c r="M13">
        <f t="shared" si="0"/>
        <v>-687</v>
      </c>
      <c r="N13" s="1">
        <f t="shared" si="1"/>
        <v>-7.6503340757238303E-2</v>
      </c>
      <c r="O13" s="2">
        <f t="shared" si="2"/>
        <v>19.835266821345709</v>
      </c>
    </row>
    <row r="15" spans="1:15" x14ac:dyDescent="0.2">
      <c r="B15" t="s">
        <v>19</v>
      </c>
      <c r="C15" t="s">
        <v>20</v>
      </c>
      <c r="D15" t="s">
        <v>30</v>
      </c>
      <c r="E15" t="s">
        <v>28</v>
      </c>
      <c r="F15" t="s">
        <v>21</v>
      </c>
      <c r="G15" t="s">
        <v>22</v>
      </c>
      <c r="H15" t="s">
        <v>23</v>
      </c>
      <c r="I15" t="s">
        <v>24</v>
      </c>
      <c r="J15" t="s">
        <v>25</v>
      </c>
      <c r="K15" t="s">
        <v>26</v>
      </c>
      <c r="L15" t="s">
        <v>27</v>
      </c>
      <c r="M15" t="s">
        <v>31</v>
      </c>
    </row>
    <row r="16" spans="1:15" x14ac:dyDescent="0.2">
      <c r="A16">
        <v>2015</v>
      </c>
      <c r="B16" cm="1">
        <f t="array" ref="B16:M16">TRANSPOSE(B2:B13)</f>
        <v>5555</v>
      </c>
      <c r="C16">
        <v>4454</v>
      </c>
      <c r="D16">
        <v>1879</v>
      </c>
      <c r="E16">
        <v>4100</v>
      </c>
      <c r="F16">
        <v>1945</v>
      </c>
      <c r="G16">
        <v>2334</v>
      </c>
      <c r="H16">
        <v>3798</v>
      </c>
      <c r="I16">
        <v>1324</v>
      </c>
      <c r="J16">
        <v>1442</v>
      </c>
      <c r="K16">
        <v>620</v>
      </c>
      <c r="L16">
        <v>846</v>
      </c>
      <c r="M16">
        <v>431</v>
      </c>
    </row>
    <row r="17" spans="1:13" x14ac:dyDescent="0.2">
      <c r="A17">
        <v>2016</v>
      </c>
      <c r="B17" cm="1">
        <f t="array" ref="B17:M17">TRANSPOSE(C2:C13)</f>
        <v>8610</v>
      </c>
      <c r="C17">
        <v>4299</v>
      </c>
      <c r="D17">
        <v>1978</v>
      </c>
      <c r="E17">
        <v>6844</v>
      </c>
      <c r="F17">
        <v>3127</v>
      </c>
      <c r="G17">
        <v>4138</v>
      </c>
      <c r="H17">
        <v>6026</v>
      </c>
      <c r="I17">
        <v>1439</v>
      </c>
      <c r="J17">
        <v>2134</v>
      </c>
      <c r="K17">
        <v>612</v>
      </c>
      <c r="L17">
        <v>668</v>
      </c>
      <c r="M17">
        <v>452</v>
      </c>
    </row>
    <row r="18" spans="1:13" x14ac:dyDescent="0.2">
      <c r="A18">
        <v>2017</v>
      </c>
      <c r="B18" cm="1">
        <f t="array" ref="B18:M18">TRANSPOSE(D2:D13)</f>
        <v>10009</v>
      </c>
      <c r="C18">
        <v>6116</v>
      </c>
      <c r="D18">
        <v>2613</v>
      </c>
      <c r="E18">
        <v>7419</v>
      </c>
      <c r="F18">
        <v>4039</v>
      </c>
      <c r="G18">
        <v>6452</v>
      </c>
      <c r="H18">
        <v>7376</v>
      </c>
      <c r="I18">
        <v>2437</v>
      </c>
      <c r="J18">
        <v>2736</v>
      </c>
      <c r="K18">
        <v>827</v>
      </c>
      <c r="L18">
        <v>797</v>
      </c>
      <c r="M18">
        <v>616</v>
      </c>
    </row>
    <row r="19" spans="1:13" x14ac:dyDescent="0.2">
      <c r="A19">
        <v>2018</v>
      </c>
      <c r="B19" cm="1">
        <f t="array" ref="B19:M19">TRANSPOSE(E2:E13)</f>
        <v>14013</v>
      </c>
      <c r="C19">
        <v>8287</v>
      </c>
      <c r="D19">
        <v>2410</v>
      </c>
      <c r="E19">
        <v>7964</v>
      </c>
      <c r="F19">
        <v>4836</v>
      </c>
      <c r="G19">
        <v>5319</v>
      </c>
      <c r="H19">
        <v>8835</v>
      </c>
      <c r="I19">
        <v>3391</v>
      </c>
      <c r="J19">
        <v>3029</v>
      </c>
      <c r="K19">
        <v>871</v>
      </c>
      <c r="L19">
        <v>651</v>
      </c>
      <c r="M19">
        <v>700</v>
      </c>
    </row>
    <row r="20" spans="1:13" x14ac:dyDescent="0.2">
      <c r="A20">
        <v>2019</v>
      </c>
      <c r="B20" cm="1">
        <f t="array" ref="B20:M20">TRANSPOSE(F2:F13)</f>
        <v>15585</v>
      </c>
      <c r="C20">
        <v>8101</v>
      </c>
      <c r="D20">
        <v>3493</v>
      </c>
      <c r="E20">
        <v>8460</v>
      </c>
      <c r="F20">
        <v>7447</v>
      </c>
      <c r="G20">
        <v>7456</v>
      </c>
      <c r="H20">
        <v>11716</v>
      </c>
      <c r="I20">
        <v>4707</v>
      </c>
      <c r="J20">
        <v>3250</v>
      </c>
      <c r="K20">
        <v>1127</v>
      </c>
      <c r="L20">
        <v>825</v>
      </c>
      <c r="M20">
        <v>805</v>
      </c>
    </row>
    <row r="21" spans="1:13" x14ac:dyDescent="0.2">
      <c r="A21">
        <v>2020</v>
      </c>
      <c r="B21" cm="1">
        <f t="array" ref="B21:M21">TRANSPOSE(G2:G13)</f>
        <v>38968</v>
      </c>
      <c r="C21">
        <v>28510</v>
      </c>
      <c r="D21">
        <v>14372</v>
      </c>
      <c r="E21">
        <v>17357</v>
      </c>
      <c r="F21">
        <v>16688</v>
      </c>
      <c r="G21">
        <v>12131</v>
      </c>
      <c r="H21">
        <v>18626</v>
      </c>
      <c r="I21">
        <v>10585</v>
      </c>
      <c r="J21">
        <v>6768</v>
      </c>
      <c r="K21">
        <v>3340</v>
      </c>
      <c r="L21">
        <v>1898</v>
      </c>
      <c r="M21">
        <v>1912</v>
      </c>
    </row>
    <row r="22" spans="1:13" x14ac:dyDescent="0.2">
      <c r="A22">
        <v>2021</v>
      </c>
      <c r="B22" cm="1">
        <f t="array" ref="B22:M22">TRANSPOSE(H2:H13)</f>
        <v>62110</v>
      </c>
      <c r="C22">
        <v>47315</v>
      </c>
      <c r="D22">
        <v>38915</v>
      </c>
      <c r="E22">
        <v>33383</v>
      </c>
      <c r="F22">
        <v>26567</v>
      </c>
      <c r="G22">
        <v>23188</v>
      </c>
      <c r="H22">
        <v>23322</v>
      </c>
      <c r="I22">
        <v>16974</v>
      </c>
      <c r="J22">
        <v>13551</v>
      </c>
      <c r="K22">
        <v>5459</v>
      </c>
      <c r="L22">
        <v>4783</v>
      </c>
      <c r="M22">
        <v>3699</v>
      </c>
    </row>
    <row r="23" spans="1:13" x14ac:dyDescent="0.2">
      <c r="A23">
        <v>2022</v>
      </c>
      <c r="B23" cm="1">
        <f t="array" ref="B23:M23">TRANSPOSE(I2:I13)</f>
        <v>79865</v>
      </c>
      <c r="C23">
        <v>50690</v>
      </c>
      <c r="D23">
        <v>56537</v>
      </c>
      <c r="E23">
        <v>33157</v>
      </c>
      <c r="F23">
        <v>31980</v>
      </c>
      <c r="G23">
        <v>30948</v>
      </c>
      <c r="H23">
        <v>23787</v>
      </c>
      <c r="I23">
        <v>21066</v>
      </c>
      <c r="J23">
        <v>16853</v>
      </c>
      <c r="K23">
        <v>7501</v>
      </c>
      <c r="L23">
        <v>5839</v>
      </c>
      <c r="M23">
        <v>5211</v>
      </c>
    </row>
    <row r="24" spans="1:13" x14ac:dyDescent="0.2">
      <c r="A24">
        <v>2023</v>
      </c>
      <c r="B24" cm="1">
        <f t="array" ref="B24:M24">TRANSPOSE(J2:J13)</f>
        <v>115533</v>
      </c>
      <c r="C24">
        <v>58707</v>
      </c>
      <c r="D24">
        <v>69989</v>
      </c>
      <c r="E24">
        <v>41320</v>
      </c>
      <c r="F24">
        <v>36458</v>
      </c>
      <c r="G24">
        <v>37946</v>
      </c>
      <c r="H24">
        <v>23653</v>
      </c>
      <c r="I24">
        <v>24736</v>
      </c>
      <c r="J24">
        <v>23336</v>
      </c>
      <c r="K24">
        <v>8119</v>
      </c>
      <c r="L24">
        <v>6181</v>
      </c>
      <c r="M24">
        <v>7397</v>
      </c>
    </row>
    <row r="25" spans="1:13" x14ac:dyDescent="0.2">
      <c r="A25">
        <v>2024</v>
      </c>
      <c r="B25" cm="1">
        <f t="array" ref="B25:M25">TRANSPOSE(K2:K13)</f>
        <v>140517</v>
      </c>
      <c r="C25">
        <v>67985</v>
      </c>
      <c r="D25">
        <v>74724</v>
      </c>
      <c r="E25">
        <v>61878</v>
      </c>
      <c r="F25">
        <v>45043</v>
      </c>
      <c r="G25">
        <v>44857</v>
      </c>
      <c r="H25">
        <v>26373</v>
      </c>
      <c r="I25">
        <v>29600</v>
      </c>
      <c r="J25">
        <v>27015</v>
      </c>
      <c r="K25">
        <v>10859</v>
      </c>
      <c r="L25">
        <v>9140</v>
      </c>
      <c r="M25">
        <v>9667</v>
      </c>
    </row>
    <row r="26" spans="1:13" x14ac:dyDescent="0.2">
      <c r="A26">
        <v>2025</v>
      </c>
      <c r="B26" cm="1">
        <f t="array" ref="B26:M26">TRANSPOSE(L2:L13)</f>
        <v>154533</v>
      </c>
      <c r="C26">
        <v>56435</v>
      </c>
      <c r="D26">
        <v>66552</v>
      </c>
      <c r="E26">
        <v>53507</v>
      </c>
      <c r="F26">
        <v>40605</v>
      </c>
      <c r="G26">
        <v>37939</v>
      </c>
      <c r="H26">
        <v>24789</v>
      </c>
      <c r="I26">
        <v>30163</v>
      </c>
      <c r="J26">
        <v>27637</v>
      </c>
      <c r="K26">
        <v>10864</v>
      </c>
      <c r="L26">
        <v>8657</v>
      </c>
      <c r="M26">
        <v>8980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5242-03AE-A546-88CB-5C9FF0C8CE2A}">
  <sheetPr codeName="Sheet7"/>
  <dimension ref="A1:C133"/>
  <sheetViews>
    <sheetView workbookViewId="0"/>
  </sheetViews>
  <sheetFormatPr baseColWidth="10" defaultRowHeight="16" x14ac:dyDescent="0.2"/>
  <cols>
    <col min="1" max="1" width="7.33203125" bestFit="1" customWidth="1"/>
    <col min="2" max="2" width="22.33203125" bestFit="1" customWidth="1"/>
    <col min="3" max="3" width="18.83203125" bestFit="1" customWidth="1"/>
  </cols>
  <sheetData>
    <row r="1" spans="1:3" x14ac:dyDescent="0.2">
      <c r="A1" t="s">
        <v>32</v>
      </c>
      <c r="B1" t="s">
        <v>16</v>
      </c>
      <c r="C1" t="s">
        <v>34</v>
      </c>
    </row>
    <row r="2" spans="1:3" x14ac:dyDescent="0.2">
      <c r="A2">
        <v>2015</v>
      </c>
      <c r="B2" t="s">
        <v>24</v>
      </c>
      <c r="C2">
        <v>9543.8630000000012</v>
      </c>
    </row>
    <row r="3" spans="1:3" x14ac:dyDescent="0.2">
      <c r="A3">
        <v>2015</v>
      </c>
      <c r="B3" t="s">
        <v>26</v>
      </c>
      <c r="C3">
        <v>5973.393</v>
      </c>
    </row>
    <row r="4" spans="1:3" x14ac:dyDescent="0.2">
      <c r="A4">
        <v>2015</v>
      </c>
      <c r="B4" t="s">
        <v>28</v>
      </c>
      <c r="C4">
        <v>102096.68799999999</v>
      </c>
    </row>
    <row r="5" spans="1:3" x14ac:dyDescent="0.2">
      <c r="A5">
        <v>2015</v>
      </c>
      <c r="B5" t="s">
        <v>20</v>
      </c>
      <c r="C5">
        <v>11965.033000000001</v>
      </c>
    </row>
    <row r="6" spans="1:3" x14ac:dyDescent="0.2">
      <c r="A6">
        <v>2015</v>
      </c>
      <c r="B6" t="s">
        <v>19</v>
      </c>
      <c r="C6">
        <v>19740.141</v>
      </c>
    </row>
    <row r="7" spans="1:3" x14ac:dyDescent="0.2">
      <c r="A7">
        <v>2015</v>
      </c>
      <c r="B7" t="s">
        <v>22</v>
      </c>
      <c r="C7">
        <v>10468.506000000001</v>
      </c>
    </row>
    <row r="8" spans="1:3" x14ac:dyDescent="0.2">
      <c r="A8">
        <v>2015</v>
      </c>
      <c r="B8" t="s">
        <v>31</v>
      </c>
      <c r="C8">
        <v>3642.9</v>
      </c>
    </row>
    <row r="9" spans="1:3" x14ac:dyDescent="0.2">
      <c r="A9">
        <v>2015</v>
      </c>
      <c r="B9" t="s">
        <v>23</v>
      </c>
      <c r="C9">
        <v>11645.216</v>
      </c>
    </row>
    <row r="10" spans="1:3" x14ac:dyDescent="0.2">
      <c r="A10">
        <v>2015</v>
      </c>
      <c r="B10" t="s">
        <v>25</v>
      </c>
      <c r="C10">
        <v>9212.7479999999996</v>
      </c>
    </row>
    <row r="11" spans="1:3" x14ac:dyDescent="0.2">
      <c r="A11">
        <v>2015</v>
      </c>
      <c r="B11" t="s">
        <v>21</v>
      </c>
      <c r="C11">
        <v>9323.8830000000016</v>
      </c>
    </row>
    <row r="12" spans="1:3" x14ac:dyDescent="0.2">
      <c r="A12">
        <v>2015</v>
      </c>
      <c r="B12" t="s">
        <v>30</v>
      </c>
      <c r="C12">
        <v>12492.506000000001</v>
      </c>
    </row>
    <row r="13" spans="1:3" x14ac:dyDescent="0.2">
      <c r="A13">
        <v>2015</v>
      </c>
      <c r="B13" t="s">
        <v>27</v>
      </c>
      <c r="C13">
        <v>4333.01</v>
      </c>
    </row>
    <row r="14" spans="1:3" x14ac:dyDescent="0.2">
      <c r="A14">
        <v>2016</v>
      </c>
      <c r="B14" t="s">
        <v>24</v>
      </c>
      <c r="C14">
        <v>9685.8140000000003</v>
      </c>
    </row>
    <row r="15" spans="1:3" x14ac:dyDescent="0.2">
      <c r="A15">
        <v>2016</v>
      </c>
      <c r="B15" t="s">
        <v>26</v>
      </c>
      <c r="C15">
        <v>6073.5929999999998</v>
      </c>
    </row>
    <row r="16" spans="1:3" x14ac:dyDescent="0.2">
      <c r="A16">
        <v>2016</v>
      </c>
      <c r="B16" t="s">
        <v>28</v>
      </c>
      <c r="C16">
        <v>104398.34699999999</v>
      </c>
    </row>
    <row r="17" spans="1:3" x14ac:dyDescent="0.2">
      <c r="A17">
        <v>2016</v>
      </c>
      <c r="B17" t="s">
        <v>20</v>
      </c>
      <c r="C17">
        <v>12260.497000000001</v>
      </c>
    </row>
    <row r="18" spans="1:3" x14ac:dyDescent="0.2">
      <c r="A18">
        <v>2016</v>
      </c>
      <c r="B18" t="s">
        <v>19</v>
      </c>
      <c r="C18">
        <v>20270.462</v>
      </c>
    </row>
    <row r="19" spans="1:3" x14ac:dyDescent="0.2">
      <c r="A19">
        <v>2016</v>
      </c>
      <c r="B19" t="s">
        <v>22</v>
      </c>
      <c r="C19">
        <v>10633.381000000001</v>
      </c>
    </row>
    <row r="20" spans="1:3" x14ac:dyDescent="0.2">
      <c r="A20">
        <v>2016</v>
      </c>
      <c r="B20" t="s">
        <v>31</v>
      </c>
      <c r="C20">
        <v>3737.5</v>
      </c>
    </row>
    <row r="21" spans="1:3" x14ac:dyDescent="0.2">
      <c r="A21">
        <v>2016</v>
      </c>
      <c r="B21" t="s">
        <v>23</v>
      </c>
      <c r="C21">
        <v>11960.869000000001</v>
      </c>
    </row>
    <row r="22" spans="1:3" x14ac:dyDescent="0.2">
      <c r="A22">
        <v>2016</v>
      </c>
      <c r="B22" t="s">
        <v>25</v>
      </c>
      <c r="C22">
        <v>9383.4669999999987</v>
      </c>
    </row>
    <row r="23" spans="1:3" x14ac:dyDescent="0.2">
      <c r="A23">
        <v>2016</v>
      </c>
      <c r="B23" t="s">
        <v>21</v>
      </c>
      <c r="C23">
        <v>9569.2710000000006</v>
      </c>
    </row>
    <row r="24" spans="1:3" x14ac:dyDescent="0.2">
      <c r="A24">
        <v>2016</v>
      </c>
      <c r="B24" t="s">
        <v>30</v>
      </c>
      <c r="C24">
        <v>12653.334000000001</v>
      </c>
    </row>
    <row r="25" spans="1:3" x14ac:dyDescent="0.2">
      <c r="A25">
        <v>2016</v>
      </c>
      <c r="B25" t="s">
        <v>27</v>
      </c>
      <c r="C25">
        <v>4404.5570000000007</v>
      </c>
    </row>
    <row r="26" spans="1:3" x14ac:dyDescent="0.2">
      <c r="A26">
        <v>2017</v>
      </c>
      <c r="B26" t="s">
        <v>24</v>
      </c>
      <c r="C26">
        <v>9846.4930000000004</v>
      </c>
    </row>
    <row r="27" spans="1:3" x14ac:dyDescent="0.2">
      <c r="A27">
        <v>2017</v>
      </c>
      <c r="B27" t="s">
        <v>26</v>
      </c>
      <c r="C27">
        <v>6162.5610000000006</v>
      </c>
    </row>
    <row r="28" spans="1:3" x14ac:dyDescent="0.2">
      <c r="A28">
        <v>2017</v>
      </c>
      <c r="B28" t="s">
        <v>28</v>
      </c>
      <c r="C28">
        <v>106316.75700000001</v>
      </c>
    </row>
    <row r="29" spans="1:3" x14ac:dyDescent="0.2">
      <c r="A29">
        <v>2017</v>
      </c>
      <c r="B29" t="s">
        <v>20</v>
      </c>
      <c r="C29">
        <v>12605.789999999999</v>
      </c>
    </row>
    <row r="30" spans="1:3" x14ac:dyDescent="0.2">
      <c r="A30">
        <v>2017</v>
      </c>
      <c r="B30" t="s">
        <v>19</v>
      </c>
      <c r="C30">
        <v>20621.220999999998</v>
      </c>
    </row>
    <row r="31" spans="1:3" x14ac:dyDescent="0.2">
      <c r="A31">
        <v>2017</v>
      </c>
      <c r="B31" t="s">
        <v>22</v>
      </c>
      <c r="C31">
        <v>10707.989000000001</v>
      </c>
    </row>
    <row r="32" spans="1:3" x14ac:dyDescent="0.2">
      <c r="A32">
        <v>2017</v>
      </c>
      <c r="B32" t="s">
        <v>31</v>
      </c>
      <c r="C32">
        <v>3831.6</v>
      </c>
    </row>
    <row r="33" spans="1:3" x14ac:dyDescent="0.2">
      <c r="A33">
        <v>2017</v>
      </c>
      <c r="B33" t="s">
        <v>23</v>
      </c>
      <c r="C33">
        <v>12249.707999999999</v>
      </c>
    </row>
    <row r="34" spans="1:3" x14ac:dyDescent="0.2">
      <c r="A34">
        <v>2017</v>
      </c>
      <c r="B34" t="s">
        <v>25</v>
      </c>
      <c r="C34">
        <v>9571.7189999999991</v>
      </c>
    </row>
    <row r="35" spans="1:3" x14ac:dyDescent="0.2">
      <c r="A35">
        <v>2017</v>
      </c>
      <c r="B35" t="s">
        <v>21</v>
      </c>
      <c r="C35">
        <v>9778.7079999999987</v>
      </c>
    </row>
    <row r="36" spans="1:3" x14ac:dyDescent="0.2">
      <c r="A36">
        <v>2017</v>
      </c>
      <c r="B36" t="s">
        <v>30</v>
      </c>
      <c r="C36">
        <v>12829.181</v>
      </c>
    </row>
    <row r="37" spans="1:3" x14ac:dyDescent="0.2">
      <c r="A37">
        <v>2017</v>
      </c>
      <c r="B37" t="s">
        <v>27</v>
      </c>
      <c r="C37">
        <v>4473.6689999999999</v>
      </c>
    </row>
    <row r="38" spans="1:3" x14ac:dyDescent="0.2">
      <c r="A38">
        <v>2018</v>
      </c>
      <c r="B38" t="s">
        <v>24</v>
      </c>
      <c r="C38">
        <v>9929.7279999999992</v>
      </c>
    </row>
    <row r="39" spans="1:3" x14ac:dyDescent="0.2">
      <c r="A39">
        <v>2018</v>
      </c>
      <c r="B39" t="s">
        <v>26</v>
      </c>
      <c r="C39">
        <v>6222.41</v>
      </c>
    </row>
    <row r="40" spans="1:3" x14ac:dyDescent="0.2">
      <c r="A40">
        <v>2018</v>
      </c>
      <c r="B40" t="s">
        <v>28</v>
      </c>
      <c r="C40">
        <v>107242.702</v>
      </c>
    </row>
    <row r="41" spans="1:3" x14ac:dyDescent="0.2">
      <c r="A41">
        <v>2018</v>
      </c>
      <c r="B41" t="s">
        <v>20</v>
      </c>
      <c r="C41">
        <v>12786.099999999999</v>
      </c>
    </row>
    <row r="42" spans="1:3" x14ac:dyDescent="0.2">
      <c r="A42">
        <v>2018</v>
      </c>
      <c r="B42" t="s">
        <v>19</v>
      </c>
      <c r="C42">
        <v>20831.826000000001</v>
      </c>
    </row>
    <row r="43" spans="1:3" x14ac:dyDescent="0.2">
      <c r="A43">
        <v>2018</v>
      </c>
      <c r="B43" t="s">
        <v>22</v>
      </c>
      <c r="C43">
        <v>10680.084000000001</v>
      </c>
    </row>
    <row r="44" spans="1:3" x14ac:dyDescent="0.2">
      <c r="A44">
        <v>2018</v>
      </c>
      <c r="B44" t="s">
        <v>31</v>
      </c>
      <c r="C44">
        <v>3891.4</v>
      </c>
    </row>
    <row r="45" spans="1:3" x14ac:dyDescent="0.2">
      <c r="A45">
        <v>2018</v>
      </c>
      <c r="B45" t="s">
        <v>23</v>
      </c>
      <c r="C45">
        <v>12333.814</v>
      </c>
    </row>
    <row r="46" spans="1:3" x14ac:dyDescent="0.2">
      <c r="A46">
        <v>2018</v>
      </c>
      <c r="B46" t="s">
        <v>25</v>
      </c>
      <c r="C46">
        <v>9674.3109999999997</v>
      </c>
    </row>
    <row r="47" spans="1:3" x14ac:dyDescent="0.2">
      <c r="A47">
        <v>2018</v>
      </c>
      <c r="B47" t="s">
        <v>21</v>
      </c>
      <c r="C47">
        <v>9941.610999999999</v>
      </c>
    </row>
    <row r="48" spans="1:3" x14ac:dyDescent="0.2">
      <c r="A48">
        <v>2018</v>
      </c>
      <c r="B48" t="s">
        <v>30</v>
      </c>
      <c r="C48">
        <v>12991.344999999999</v>
      </c>
    </row>
    <row r="49" spans="1:3" x14ac:dyDescent="0.2">
      <c r="A49">
        <v>2018</v>
      </c>
      <c r="B49" t="s">
        <v>27</v>
      </c>
      <c r="C49">
        <v>4517.4440000000004</v>
      </c>
    </row>
    <row r="50" spans="1:3" x14ac:dyDescent="0.2">
      <c r="A50">
        <v>2019</v>
      </c>
      <c r="B50" t="s">
        <v>24</v>
      </c>
      <c r="C50">
        <v>10071.392</v>
      </c>
    </row>
    <row r="51" spans="1:3" x14ac:dyDescent="0.2">
      <c r="A51">
        <v>2019</v>
      </c>
      <c r="B51" t="s">
        <v>26</v>
      </c>
      <c r="C51">
        <v>6311.5860000000002</v>
      </c>
    </row>
    <row r="52" spans="1:3" x14ac:dyDescent="0.2">
      <c r="A52">
        <v>2019</v>
      </c>
      <c r="B52" t="s">
        <v>28</v>
      </c>
      <c r="C52">
        <v>108491.162</v>
      </c>
    </row>
    <row r="53" spans="1:3" x14ac:dyDescent="0.2">
      <c r="A53">
        <v>2019</v>
      </c>
      <c r="B53" t="s">
        <v>20</v>
      </c>
      <c r="C53">
        <v>13105.45</v>
      </c>
    </row>
    <row r="54" spans="1:3" x14ac:dyDescent="0.2">
      <c r="A54">
        <v>2019</v>
      </c>
      <c r="B54" t="s">
        <v>19</v>
      </c>
      <c r="C54">
        <v>21017.423999999999</v>
      </c>
    </row>
    <row r="55" spans="1:3" x14ac:dyDescent="0.2">
      <c r="A55">
        <v>2019</v>
      </c>
      <c r="B55" t="s">
        <v>22</v>
      </c>
      <c r="C55">
        <v>10675.575999999999</v>
      </c>
    </row>
    <row r="56" spans="1:3" x14ac:dyDescent="0.2">
      <c r="A56">
        <v>2019</v>
      </c>
      <c r="B56" t="s">
        <v>31</v>
      </c>
      <c r="C56">
        <v>3966.5</v>
      </c>
    </row>
    <row r="57" spans="1:3" x14ac:dyDescent="0.2">
      <c r="A57">
        <v>2019</v>
      </c>
      <c r="B57" t="s">
        <v>23</v>
      </c>
      <c r="C57">
        <v>12298.439999999999</v>
      </c>
    </row>
    <row r="58" spans="1:3" x14ac:dyDescent="0.2">
      <c r="A58">
        <v>2019</v>
      </c>
      <c r="B58" t="s">
        <v>25</v>
      </c>
      <c r="C58">
        <v>9832.5310000000009</v>
      </c>
    </row>
    <row r="59" spans="1:3" x14ac:dyDescent="0.2">
      <c r="A59">
        <v>2019</v>
      </c>
      <c r="B59" t="s">
        <v>21</v>
      </c>
      <c r="C59">
        <v>10153.206</v>
      </c>
    </row>
    <row r="60" spans="1:3" x14ac:dyDescent="0.2">
      <c r="A60">
        <v>2019</v>
      </c>
      <c r="B60" t="s">
        <v>30</v>
      </c>
      <c r="C60">
        <v>13224.905000000001</v>
      </c>
    </row>
    <row r="61" spans="1:3" x14ac:dyDescent="0.2">
      <c r="A61">
        <v>2019</v>
      </c>
      <c r="B61" t="s">
        <v>27</v>
      </c>
      <c r="C61">
        <v>4594.4269999999997</v>
      </c>
    </row>
    <row r="62" spans="1:3" x14ac:dyDescent="0.2">
      <c r="A62">
        <v>2020</v>
      </c>
      <c r="B62" t="s">
        <v>24</v>
      </c>
      <c r="C62">
        <v>10078.609</v>
      </c>
    </row>
    <row r="63" spans="1:3" x14ac:dyDescent="0.2">
      <c r="A63">
        <v>2020</v>
      </c>
      <c r="B63" t="s">
        <v>26</v>
      </c>
      <c r="C63">
        <v>6314.2719999999999</v>
      </c>
    </row>
    <row r="64" spans="1:3" x14ac:dyDescent="0.2">
      <c r="A64">
        <v>2020</v>
      </c>
      <c r="B64" t="s">
        <v>28</v>
      </c>
      <c r="C64">
        <v>108296.64199999999</v>
      </c>
    </row>
    <row r="65" spans="1:3" x14ac:dyDescent="0.2">
      <c r="A65">
        <v>2020</v>
      </c>
      <c r="B65" t="s">
        <v>20</v>
      </c>
      <c r="C65">
        <v>13071.927</v>
      </c>
    </row>
    <row r="66" spans="1:3" x14ac:dyDescent="0.2">
      <c r="A66">
        <v>2020</v>
      </c>
      <c r="B66" t="s">
        <v>19</v>
      </c>
      <c r="C66">
        <v>20846.218000000001</v>
      </c>
    </row>
    <row r="67" spans="1:3" x14ac:dyDescent="0.2">
      <c r="A67">
        <v>2020</v>
      </c>
      <c r="B67" t="s">
        <v>22</v>
      </c>
      <c r="C67">
        <v>10593.224</v>
      </c>
    </row>
    <row r="68" spans="1:3" x14ac:dyDescent="0.2">
      <c r="A68">
        <v>2020</v>
      </c>
      <c r="B68" t="s">
        <v>31</v>
      </c>
      <c r="C68">
        <v>3983.7</v>
      </c>
    </row>
    <row r="69" spans="1:3" x14ac:dyDescent="0.2">
      <c r="A69">
        <v>2020</v>
      </c>
      <c r="B69" t="s">
        <v>23</v>
      </c>
      <c r="C69">
        <v>11875.025000000001</v>
      </c>
    </row>
    <row r="70" spans="1:3" x14ac:dyDescent="0.2">
      <c r="A70">
        <v>2020</v>
      </c>
      <c r="B70" t="s">
        <v>25</v>
      </c>
      <c r="C70">
        <v>9798.4979999999996</v>
      </c>
    </row>
    <row r="71" spans="1:3" x14ac:dyDescent="0.2">
      <c r="A71">
        <v>2020</v>
      </c>
      <c r="B71" t="s">
        <v>21</v>
      </c>
      <c r="C71">
        <v>10196.695</v>
      </c>
    </row>
    <row r="72" spans="1:3" x14ac:dyDescent="0.2">
      <c r="A72">
        <v>2020</v>
      </c>
      <c r="B72" t="s">
        <v>30</v>
      </c>
      <c r="C72">
        <v>13691.101999999999</v>
      </c>
    </row>
    <row r="73" spans="1:3" x14ac:dyDescent="0.2">
      <c r="A73">
        <v>2020</v>
      </c>
      <c r="B73" t="s">
        <v>27</v>
      </c>
      <c r="C73">
        <v>4629.3130000000001</v>
      </c>
    </row>
    <row r="74" spans="1:3" x14ac:dyDescent="0.2">
      <c r="A74">
        <v>2021</v>
      </c>
      <c r="B74" t="s">
        <v>24</v>
      </c>
      <c r="C74">
        <v>10106.632000000001</v>
      </c>
    </row>
    <row r="75" spans="1:3" x14ac:dyDescent="0.2">
      <c r="A75">
        <v>2021</v>
      </c>
      <c r="B75" t="s">
        <v>26</v>
      </c>
      <c r="C75">
        <v>6352.1059999999998</v>
      </c>
    </row>
    <row r="76" spans="1:3" x14ac:dyDescent="0.2">
      <c r="A76">
        <v>2021</v>
      </c>
      <c r="B76" t="s">
        <v>28</v>
      </c>
      <c r="C76">
        <v>108549.269</v>
      </c>
    </row>
    <row r="77" spans="1:3" x14ac:dyDescent="0.2">
      <c r="A77">
        <v>2021</v>
      </c>
      <c r="B77" t="s">
        <v>20</v>
      </c>
      <c r="C77">
        <v>13091.657000000001</v>
      </c>
    </row>
    <row r="78" spans="1:3" x14ac:dyDescent="0.2">
      <c r="A78">
        <v>2021</v>
      </c>
      <c r="B78" t="s">
        <v>19</v>
      </c>
      <c r="C78">
        <v>20895.302</v>
      </c>
    </row>
    <row r="79" spans="1:3" x14ac:dyDescent="0.2">
      <c r="A79">
        <v>2021</v>
      </c>
      <c r="B79" t="s">
        <v>22</v>
      </c>
      <c r="C79">
        <v>10509.793</v>
      </c>
    </row>
    <row r="80" spans="1:3" x14ac:dyDescent="0.2">
      <c r="A80">
        <v>2021</v>
      </c>
      <c r="B80" t="s">
        <v>31</v>
      </c>
      <c r="C80">
        <v>4050.3</v>
      </c>
    </row>
    <row r="81" spans="1:3" x14ac:dyDescent="0.2">
      <c r="A81">
        <v>2021</v>
      </c>
      <c r="B81" t="s">
        <v>23</v>
      </c>
      <c r="C81">
        <v>11499.862999999999</v>
      </c>
    </row>
    <row r="82" spans="1:3" x14ac:dyDescent="0.2">
      <c r="A82">
        <v>2021</v>
      </c>
      <c r="B82" t="s">
        <v>25</v>
      </c>
      <c r="C82">
        <v>9877.9959999999992</v>
      </c>
    </row>
    <row r="83" spans="1:3" x14ac:dyDescent="0.2">
      <c r="A83">
        <v>2021</v>
      </c>
      <c r="B83" t="s">
        <v>21</v>
      </c>
      <c r="C83">
        <v>10269.182999999999</v>
      </c>
    </row>
    <row r="84" spans="1:3" x14ac:dyDescent="0.2">
      <c r="A84">
        <v>2021</v>
      </c>
      <c r="B84" t="s">
        <v>30</v>
      </c>
      <c r="C84">
        <v>14109.633000000002</v>
      </c>
    </row>
    <row r="85" spans="1:3" x14ac:dyDescent="0.2">
      <c r="A85">
        <v>2021</v>
      </c>
      <c r="B85" t="s">
        <v>27</v>
      </c>
      <c r="C85">
        <v>4669.9290000000001</v>
      </c>
    </row>
    <row r="86" spans="1:3" x14ac:dyDescent="0.2">
      <c r="A86">
        <v>2022</v>
      </c>
      <c r="B86" t="s">
        <v>24</v>
      </c>
      <c r="C86">
        <v>10137.519</v>
      </c>
    </row>
    <row r="87" spans="1:3" x14ac:dyDescent="0.2">
      <c r="A87">
        <v>2022</v>
      </c>
      <c r="B87" t="s">
        <v>26</v>
      </c>
      <c r="C87">
        <v>6394.3150000000005</v>
      </c>
    </row>
    <row r="88" spans="1:3" x14ac:dyDescent="0.2">
      <c r="A88">
        <v>2022</v>
      </c>
      <c r="B88" t="s">
        <v>28</v>
      </c>
      <c r="C88">
        <v>109310.973</v>
      </c>
    </row>
    <row r="89" spans="1:3" x14ac:dyDescent="0.2">
      <c r="A89">
        <v>2022</v>
      </c>
      <c r="B89" t="s">
        <v>20</v>
      </c>
      <c r="C89">
        <v>13177.273999999999</v>
      </c>
    </row>
    <row r="90" spans="1:3" x14ac:dyDescent="0.2">
      <c r="A90">
        <v>2022</v>
      </c>
      <c r="B90" t="s">
        <v>19</v>
      </c>
      <c r="C90">
        <v>21214.026000000002</v>
      </c>
    </row>
    <row r="91" spans="1:3" x14ac:dyDescent="0.2">
      <c r="A91">
        <v>2022</v>
      </c>
      <c r="B91" t="s">
        <v>22</v>
      </c>
      <c r="C91">
        <v>10441.134999999998</v>
      </c>
    </row>
    <row r="92" spans="1:3" x14ac:dyDescent="0.2">
      <c r="A92">
        <v>2022</v>
      </c>
      <c r="B92" t="s">
        <v>31</v>
      </c>
      <c r="C92">
        <v>4061.6</v>
      </c>
    </row>
    <row r="93" spans="1:3" x14ac:dyDescent="0.2">
      <c r="A93">
        <v>2022</v>
      </c>
      <c r="B93" t="s">
        <v>23</v>
      </c>
      <c r="C93">
        <v>11558.656000000001</v>
      </c>
    </row>
    <row r="94" spans="1:3" x14ac:dyDescent="0.2">
      <c r="A94">
        <v>2022</v>
      </c>
      <c r="B94" t="s">
        <v>25</v>
      </c>
      <c r="C94">
        <v>9956.6219999999994</v>
      </c>
    </row>
    <row r="95" spans="1:3" x14ac:dyDescent="0.2">
      <c r="A95">
        <v>2022</v>
      </c>
      <c r="B95" t="s">
        <v>21</v>
      </c>
      <c r="C95">
        <v>10397.741</v>
      </c>
    </row>
    <row r="96" spans="1:3" x14ac:dyDescent="0.2">
      <c r="A96">
        <v>2022</v>
      </c>
      <c r="B96" t="s">
        <v>30</v>
      </c>
      <c r="C96">
        <v>14230.592000000001</v>
      </c>
    </row>
    <row r="97" spans="1:3" x14ac:dyDescent="0.2">
      <c r="A97">
        <v>2022</v>
      </c>
      <c r="B97" t="s">
        <v>27</v>
      </c>
      <c r="C97">
        <v>4714.612000000001</v>
      </c>
    </row>
    <row r="98" spans="1:3" x14ac:dyDescent="0.2">
      <c r="A98">
        <v>2023</v>
      </c>
      <c r="B98" t="s">
        <v>24</v>
      </c>
      <c r="C98">
        <v>10238.992</v>
      </c>
    </row>
    <row r="99" spans="1:3" x14ac:dyDescent="0.2">
      <c r="A99">
        <v>2023</v>
      </c>
      <c r="B99" t="s">
        <v>26</v>
      </c>
      <c r="C99">
        <v>6457.3729999999996</v>
      </c>
    </row>
    <row r="100" spans="1:3" x14ac:dyDescent="0.2">
      <c r="A100">
        <v>2023</v>
      </c>
      <c r="B100" t="s">
        <v>28</v>
      </c>
      <c r="C100">
        <v>110576.83</v>
      </c>
    </row>
    <row r="101" spans="1:3" x14ac:dyDescent="0.2">
      <c r="A101">
        <v>2023</v>
      </c>
      <c r="B101" t="s">
        <v>20</v>
      </c>
      <c r="C101">
        <v>13294.921999999999</v>
      </c>
    </row>
    <row r="102" spans="1:3" x14ac:dyDescent="0.2">
      <c r="A102">
        <v>2023</v>
      </c>
      <c r="B102" t="s">
        <v>19</v>
      </c>
      <c r="C102">
        <v>21613.311000000002</v>
      </c>
    </row>
    <row r="103" spans="1:3" x14ac:dyDescent="0.2">
      <c r="A103">
        <v>2023</v>
      </c>
      <c r="B103" t="s">
        <v>22</v>
      </c>
      <c r="C103">
        <v>10405.553</v>
      </c>
    </row>
    <row r="104" spans="1:3" x14ac:dyDescent="0.2">
      <c r="A104">
        <v>2023</v>
      </c>
      <c r="B104" t="s">
        <v>31</v>
      </c>
      <c r="C104">
        <v>4123</v>
      </c>
    </row>
    <row r="105" spans="1:3" x14ac:dyDescent="0.2">
      <c r="A105">
        <v>2023</v>
      </c>
      <c r="B105" t="s">
        <v>23</v>
      </c>
      <c r="C105">
        <v>11679.957</v>
      </c>
    </row>
    <row r="106" spans="1:3" x14ac:dyDescent="0.2">
      <c r="A106">
        <v>2023</v>
      </c>
      <c r="B106" t="s">
        <v>25</v>
      </c>
      <c r="C106">
        <v>10099.852999999999</v>
      </c>
    </row>
    <row r="107" spans="1:3" x14ac:dyDescent="0.2">
      <c r="A107">
        <v>2023</v>
      </c>
      <c r="B107" t="s">
        <v>21</v>
      </c>
      <c r="C107">
        <v>10539.456</v>
      </c>
    </row>
    <row r="108" spans="1:3" x14ac:dyDescent="0.2">
      <c r="A108">
        <v>2023</v>
      </c>
      <c r="B108" t="s">
        <v>30</v>
      </c>
      <c r="C108">
        <v>14444.152</v>
      </c>
    </row>
    <row r="109" spans="1:3" x14ac:dyDescent="0.2">
      <c r="A109">
        <v>2023</v>
      </c>
      <c r="B109" t="s">
        <v>27</v>
      </c>
      <c r="C109">
        <v>4773.451</v>
      </c>
    </row>
    <row r="110" spans="1:3" x14ac:dyDescent="0.2">
      <c r="A110">
        <v>2024</v>
      </c>
      <c r="B110" t="s">
        <v>24</v>
      </c>
      <c r="C110">
        <v>10368.380000000001</v>
      </c>
    </row>
    <row r="111" spans="1:3" x14ac:dyDescent="0.2">
      <c r="A111">
        <v>2024</v>
      </c>
      <c r="B111" t="s">
        <v>26</v>
      </c>
      <c r="C111">
        <v>6541.6880000000001</v>
      </c>
    </row>
    <row r="112" spans="1:3" x14ac:dyDescent="0.2">
      <c r="A112">
        <v>2024</v>
      </c>
      <c r="B112" t="s">
        <v>28</v>
      </c>
      <c r="C112">
        <v>112032.485</v>
      </c>
    </row>
    <row r="113" spans="1:3" x14ac:dyDescent="0.2">
      <c r="A113">
        <v>2024</v>
      </c>
      <c r="B113" t="s">
        <v>20</v>
      </c>
      <c r="C113">
        <v>13446.754999999999</v>
      </c>
    </row>
    <row r="114" spans="1:3" x14ac:dyDescent="0.2">
      <c r="A114">
        <v>2024</v>
      </c>
      <c r="B114" t="s">
        <v>19</v>
      </c>
      <c r="C114">
        <v>21955.512999999999</v>
      </c>
    </row>
    <row r="115" spans="1:3" x14ac:dyDescent="0.2">
      <c r="A115">
        <v>2024</v>
      </c>
      <c r="B115" t="s">
        <v>22</v>
      </c>
      <c r="C115">
        <v>10440.598</v>
      </c>
    </row>
    <row r="116" spans="1:3" x14ac:dyDescent="0.2">
      <c r="A116">
        <v>2024</v>
      </c>
      <c r="B116" t="s">
        <v>31</v>
      </c>
      <c r="C116">
        <v>4190.2</v>
      </c>
    </row>
    <row r="117" spans="1:3" x14ac:dyDescent="0.2">
      <c r="A117">
        <v>2024</v>
      </c>
      <c r="B117" t="s">
        <v>23</v>
      </c>
      <c r="C117">
        <v>11787.437999999998</v>
      </c>
    </row>
    <row r="118" spans="1:3" x14ac:dyDescent="0.2">
      <c r="A118">
        <v>2024</v>
      </c>
      <c r="B118" t="s">
        <v>25</v>
      </c>
      <c r="C118">
        <v>10236.238000000001</v>
      </c>
    </row>
    <row r="119" spans="1:3" x14ac:dyDescent="0.2">
      <c r="A119">
        <v>2024</v>
      </c>
      <c r="B119" t="s">
        <v>21</v>
      </c>
      <c r="C119">
        <v>10701.824000000001</v>
      </c>
    </row>
    <row r="120" spans="1:3" x14ac:dyDescent="0.2">
      <c r="A120">
        <v>2024</v>
      </c>
      <c r="B120" t="s">
        <v>30</v>
      </c>
      <c r="C120">
        <v>14669.518</v>
      </c>
    </row>
    <row r="121" spans="1:3" x14ac:dyDescent="0.2">
      <c r="A121">
        <v>2024</v>
      </c>
      <c r="B121" t="s">
        <v>27</v>
      </c>
      <c r="C121">
        <v>4844.2129999999997</v>
      </c>
    </row>
    <row r="122" spans="1:3" x14ac:dyDescent="0.2">
      <c r="A122">
        <v>2025</v>
      </c>
      <c r="B122" t="s">
        <v>24</v>
      </c>
      <c r="C122">
        <v>7854.1190000000006</v>
      </c>
    </row>
    <row r="123" spans="1:3" x14ac:dyDescent="0.2">
      <c r="A123">
        <v>2025</v>
      </c>
      <c r="B123" t="s">
        <v>26</v>
      </c>
      <c r="C123">
        <v>4962.2929999999997</v>
      </c>
    </row>
    <row r="124" spans="1:3" x14ac:dyDescent="0.2">
      <c r="A124">
        <v>2025</v>
      </c>
      <c r="B124" t="s">
        <v>28</v>
      </c>
      <c r="C124">
        <v>85087.284</v>
      </c>
    </row>
    <row r="125" spans="1:3" x14ac:dyDescent="0.2">
      <c r="A125">
        <v>2025</v>
      </c>
      <c r="B125" t="s">
        <v>20</v>
      </c>
      <c r="C125">
        <v>10152.632</v>
      </c>
    </row>
    <row r="126" spans="1:3" x14ac:dyDescent="0.2">
      <c r="A126">
        <v>2025</v>
      </c>
      <c r="B126" t="s">
        <v>19</v>
      </c>
      <c r="C126">
        <v>16814.661</v>
      </c>
    </row>
    <row r="127" spans="1:3" x14ac:dyDescent="0.2">
      <c r="A127">
        <v>2025</v>
      </c>
      <c r="B127" t="s">
        <v>22</v>
      </c>
      <c r="C127">
        <v>7872.5040000000008</v>
      </c>
    </row>
    <row r="128" spans="1:3" x14ac:dyDescent="0.2">
      <c r="A128">
        <v>2025</v>
      </c>
      <c r="B128" t="s">
        <v>31</v>
      </c>
      <c r="C128">
        <v>3206.6</v>
      </c>
    </row>
    <row r="129" spans="1:3" x14ac:dyDescent="0.2">
      <c r="A129">
        <v>2025</v>
      </c>
      <c r="B129" t="s">
        <v>23</v>
      </c>
      <c r="C129">
        <v>8949.7579999999998</v>
      </c>
    </row>
    <row r="130" spans="1:3" x14ac:dyDescent="0.2">
      <c r="A130">
        <v>2025</v>
      </c>
      <c r="B130" t="s">
        <v>25</v>
      </c>
      <c r="C130">
        <v>7737.9189999999999</v>
      </c>
    </row>
    <row r="131" spans="1:3" x14ac:dyDescent="0.2">
      <c r="A131">
        <v>2025</v>
      </c>
      <c r="B131" t="s">
        <v>21</v>
      </c>
      <c r="C131">
        <v>8121.8969999999999</v>
      </c>
    </row>
    <row r="132" spans="1:3" x14ac:dyDescent="0.2">
      <c r="A132">
        <v>2025</v>
      </c>
      <c r="B132" t="s">
        <v>30</v>
      </c>
      <c r="C132">
        <v>11130.733</v>
      </c>
    </row>
    <row r="133" spans="1:3" x14ac:dyDescent="0.2">
      <c r="A133">
        <v>2025</v>
      </c>
      <c r="B133" t="s">
        <v>27</v>
      </c>
      <c r="C133">
        <v>3680.076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94783-7E96-E142-B0FC-521E8ADEBA5B}">
  <sheetPr codeName="Sheet8"/>
  <dimension ref="A1:M12"/>
  <sheetViews>
    <sheetView workbookViewId="0">
      <selection activeCell="C1" sqref="C1"/>
    </sheetView>
  </sheetViews>
  <sheetFormatPr baseColWidth="10" defaultRowHeight="16" x14ac:dyDescent="0.2"/>
  <sheetData>
    <row r="1" spans="1:13" x14ac:dyDescent="0.2">
      <c r="B1" t="s">
        <v>19</v>
      </c>
      <c r="C1" t="s">
        <v>20</v>
      </c>
      <c r="D1" t="s">
        <v>30</v>
      </c>
      <c r="E1" t="s">
        <v>28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31</v>
      </c>
    </row>
    <row r="2" spans="1:13" x14ac:dyDescent="0.2">
      <c r="A2">
        <v>2015</v>
      </c>
      <c r="B2">
        <v>5555</v>
      </c>
      <c r="C2">
        <v>4454</v>
      </c>
      <c r="D2">
        <v>1879</v>
      </c>
      <c r="E2">
        <v>4100</v>
      </c>
      <c r="F2">
        <v>1945</v>
      </c>
      <c r="G2">
        <v>2334</v>
      </c>
      <c r="H2">
        <v>3798</v>
      </c>
      <c r="I2">
        <v>1324</v>
      </c>
      <c r="J2">
        <v>1442</v>
      </c>
      <c r="K2">
        <v>620</v>
      </c>
      <c r="L2">
        <v>846</v>
      </c>
      <c r="M2">
        <v>431</v>
      </c>
    </row>
    <row r="3" spans="1:13" x14ac:dyDescent="0.2">
      <c r="A3">
        <v>2016</v>
      </c>
      <c r="B3">
        <v>8610</v>
      </c>
      <c r="C3">
        <v>4299</v>
      </c>
      <c r="D3">
        <v>1978</v>
      </c>
      <c r="E3">
        <v>6844</v>
      </c>
      <c r="F3">
        <v>3127</v>
      </c>
      <c r="G3">
        <v>4138</v>
      </c>
      <c r="H3">
        <v>6026</v>
      </c>
      <c r="I3">
        <v>1439</v>
      </c>
      <c r="J3">
        <v>2134</v>
      </c>
      <c r="K3">
        <v>612</v>
      </c>
      <c r="L3">
        <v>668</v>
      </c>
      <c r="M3">
        <v>452</v>
      </c>
    </row>
    <row r="4" spans="1:13" x14ac:dyDescent="0.2">
      <c r="A4">
        <v>2017</v>
      </c>
      <c r="B4">
        <v>10009</v>
      </c>
      <c r="C4">
        <v>6116</v>
      </c>
      <c r="D4">
        <v>2613</v>
      </c>
      <c r="E4">
        <v>7419</v>
      </c>
      <c r="F4">
        <v>4039</v>
      </c>
      <c r="G4">
        <v>6452</v>
      </c>
      <c r="H4">
        <v>7376</v>
      </c>
      <c r="I4">
        <v>2437</v>
      </c>
      <c r="J4">
        <v>2736</v>
      </c>
      <c r="K4">
        <v>827</v>
      </c>
      <c r="L4">
        <v>797</v>
      </c>
      <c r="M4">
        <v>616</v>
      </c>
    </row>
    <row r="5" spans="1:13" x14ac:dyDescent="0.2">
      <c r="A5">
        <v>2018</v>
      </c>
      <c r="B5">
        <v>14013</v>
      </c>
      <c r="C5">
        <v>8287</v>
      </c>
      <c r="D5">
        <v>2410</v>
      </c>
      <c r="E5">
        <v>7964</v>
      </c>
      <c r="F5">
        <v>4836</v>
      </c>
      <c r="G5">
        <v>5319</v>
      </c>
      <c r="H5">
        <v>8835</v>
      </c>
      <c r="I5">
        <v>3391</v>
      </c>
      <c r="J5">
        <v>3029</v>
      </c>
      <c r="K5">
        <v>871</v>
      </c>
      <c r="L5">
        <v>651</v>
      </c>
      <c r="M5">
        <v>700</v>
      </c>
    </row>
    <row r="6" spans="1:13" x14ac:dyDescent="0.2">
      <c r="A6">
        <v>2019</v>
      </c>
      <c r="B6">
        <v>15585</v>
      </c>
      <c r="C6">
        <v>8101</v>
      </c>
      <c r="D6">
        <v>3493</v>
      </c>
      <c r="E6">
        <v>8460</v>
      </c>
      <c r="F6">
        <v>7447</v>
      </c>
      <c r="G6">
        <v>7456</v>
      </c>
      <c r="H6">
        <v>11716</v>
      </c>
      <c r="I6">
        <v>4707</v>
      </c>
      <c r="J6">
        <v>3250</v>
      </c>
      <c r="K6">
        <v>1127</v>
      </c>
      <c r="L6">
        <v>825</v>
      </c>
      <c r="M6">
        <v>805</v>
      </c>
    </row>
    <row r="7" spans="1:13" x14ac:dyDescent="0.2">
      <c r="A7">
        <v>2020</v>
      </c>
      <c r="B7">
        <v>38968</v>
      </c>
      <c r="C7">
        <v>28510</v>
      </c>
      <c r="D7">
        <v>14372</v>
      </c>
      <c r="E7">
        <v>17357</v>
      </c>
      <c r="F7">
        <v>16688</v>
      </c>
      <c r="G7">
        <v>12131</v>
      </c>
      <c r="H7">
        <v>18626</v>
      </c>
      <c r="I7">
        <v>10585</v>
      </c>
      <c r="J7">
        <v>6768</v>
      </c>
      <c r="K7">
        <v>3340</v>
      </c>
      <c r="L7">
        <v>1898</v>
      </c>
      <c r="M7">
        <v>1912</v>
      </c>
    </row>
    <row r="8" spans="1:13" x14ac:dyDescent="0.2">
      <c r="A8">
        <v>2021</v>
      </c>
      <c r="B8">
        <v>62110</v>
      </c>
      <c r="C8">
        <v>47315</v>
      </c>
      <c r="D8">
        <v>38915</v>
      </c>
      <c r="E8">
        <v>33383</v>
      </c>
      <c r="F8">
        <v>26567</v>
      </c>
      <c r="G8">
        <v>23188</v>
      </c>
      <c r="H8">
        <v>23322</v>
      </c>
      <c r="I8">
        <v>16974</v>
      </c>
      <c r="J8">
        <v>13551</v>
      </c>
      <c r="K8">
        <v>5459</v>
      </c>
      <c r="L8">
        <v>4783</v>
      </c>
      <c r="M8">
        <v>3699</v>
      </c>
    </row>
    <row r="9" spans="1:13" x14ac:dyDescent="0.2">
      <c r="A9">
        <v>2022</v>
      </c>
      <c r="B9">
        <v>79865</v>
      </c>
      <c r="C9">
        <v>50690</v>
      </c>
      <c r="D9">
        <v>56537</v>
      </c>
      <c r="E9">
        <v>33157</v>
      </c>
      <c r="F9">
        <v>31980</v>
      </c>
      <c r="G9">
        <v>30948</v>
      </c>
      <c r="H9">
        <v>23787</v>
      </c>
      <c r="I9">
        <v>21066</v>
      </c>
      <c r="J9">
        <v>16853</v>
      </c>
      <c r="K9">
        <v>7501</v>
      </c>
      <c r="L9">
        <v>5839</v>
      </c>
      <c r="M9">
        <v>5211</v>
      </c>
    </row>
    <row r="10" spans="1:13" x14ac:dyDescent="0.2">
      <c r="A10">
        <v>2023</v>
      </c>
      <c r="B10">
        <v>115533</v>
      </c>
      <c r="C10">
        <v>58707</v>
      </c>
      <c r="D10">
        <v>69989</v>
      </c>
      <c r="E10">
        <v>41320</v>
      </c>
      <c r="F10">
        <v>36458</v>
      </c>
      <c r="G10">
        <v>37946</v>
      </c>
      <c r="H10">
        <v>23653</v>
      </c>
      <c r="I10">
        <v>24736</v>
      </c>
      <c r="J10">
        <v>23336</v>
      </c>
      <c r="K10">
        <v>8119</v>
      </c>
      <c r="L10">
        <v>6181</v>
      </c>
      <c r="M10">
        <v>7397</v>
      </c>
    </row>
    <row r="11" spans="1:13" x14ac:dyDescent="0.2">
      <c r="A11">
        <v>2024</v>
      </c>
      <c r="B11">
        <v>140517</v>
      </c>
      <c r="C11">
        <v>67985</v>
      </c>
      <c r="D11">
        <v>74724</v>
      </c>
      <c r="E11">
        <v>61878</v>
      </c>
      <c r="F11">
        <v>45043</v>
      </c>
      <c r="G11">
        <v>44857</v>
      </c>
      <c r="H11">
        <v>26373</v>
      </c>
      <c r="I11">
        <v>29600</v>
      </c>
      <c r="J11">
        <v>27015</v>
      </c>
      <c r="K11">
        <v>10859</v>
      </c>
      <c r="L11">
        <v>9140</v>
      </c>
      <c r="M11">
        <v>9667</v>
      </c>
    </row>
    <row r="12" spans="1:13" x14ac:dyDescent="0.2">
      <c r="A12">
        <v>2025</v>
      </c>
      <c r="B12">
        <v>154533</v>
      </c>
      <c r="C12">
        <v>56435</v>
      </c>
      <c r="D12">
        <v>66552</v>
      </c>
      <c r="E12">
        <v>53507</v>
      </c>
      <c r="F12">
        <v>40605</v>
      </c>
      <c r="G12">
        <v>37939</v>
      </c>
      <c r="H12">
        <v>24789</v>
      </c>
      <c r="I12">
        <v>30163</v>
      </c>
      <c r="J12">
        <v>27637</v>
      </c>
      <c r="K12">
        <v>10864</v>
      </c>
      <c r="L12">
        <v>8657</v>
      </c>
      <c r="M12">
        <v>8980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12A1C1-65B9-F043-B8B2-2D875D7EBC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VEH1104 Clean2 (2)</vt:lpstr>
      <vt:lpstr>VHE0172 lastest (3)</vt:lpstr>
      <vt:lpstr>VHE0172+1104</vt:lpstr>
      <vt:lpstr>Sheet1</vt:lpstr>
      <vt:lpstr>VEH0172 (ULEVs) registered for </vt:lpstr>
      <vt:lpstr>VEH0172 update</vt:lpstr>
      <vt:lpstr>VEH1104 Clean2</vt:lpstr>
      <vt:lpstr>VHE0172 lastest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Lokyi Chiang (Student)</dc:creator>
  <cp:lastModifiedBy>Lokyi Chiang (Student)</cp:lastModifiedBy>
  <dcterms:created xsi:type="dcterms:W3CDTF">2026-03-07T17:53:16Z</dcterms:created>
  <dcterms:modified xsi:type="dcterms:W3CDTF">2026-03-18T23:10:26Z</dcterms:modified>
</cp:coreProperties>
</file>